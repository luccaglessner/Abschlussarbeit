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ropbox\PhilTrans Origin of Life paper\"/>
    </mc:Choice>
  </mc:AlternateContent>
  <xr:revisionPtr revIDLastSave="0" documentId="13_ncr:1_{CB3646AF-7552-464F-8603-BDD3646B9A7C}" xr6:coauthVersionLast="47" xr6:coauthVersionMax="47" xr10:uidLastSave="{00000000-0000-0000-0000-000000000000}"/>
  <bookViews>
    <workbookView xWindow="-120" yWindow="-120" windowWidth="29040" windowHeight="15840" xr2:uid="{D817C688-AECA-1646-9FCB-0AF2245F0FAE}"/>
  </bookViews>
  <sheets>
    <sheet name="S1 - Hot spring water chemistry" sheetId="1" r:id="rId1"/>
    <sheet name="S2 - Bedrock chemistry" sheetId="2" r:id="rId2"/>
    <sheet name="S3 - Bedrock averages" sheetId="4" r:id="rId3"/>
    <sheet name="References" sheetId="3" r:id="rId4"/>
  </sheets>
  <definedNames>
    <definedName name="_xlnm._FilterDatabase" localSheetId="0" hidden="1">'S1 - Hot spring water chemistry'!$A$1:$T$140</definedName>
    <definedName name="_xlnm._FilterDatabase" localSheetId="1" hidden="1">'S2 - Bedrock chemistry'!$A$1:$V$180</definedName>
    <definedName name="_xlnm._FilterDatabase" localSheetId="2" hidden="1">'S3 - Bedrock averages'!$A$1:$J$1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0" i="2" l="1"/>
  <c r="S180" i="2" s="1"/>
  <c r="L180" i="2"/>
  <c r="K180" i="2"/>
  <c r="J180" i="2" s="1"/>
  <c r="F180" i="2"/>
  <c r="E180" i="2" s="1"/>
  <c r="R163" i="2"/>
  <c r="G163" i="2"/>
  <c r="R162" i="2"/>
  <c r="S162" i="2" s="1"/>
  <c r="Q162" i="2"/>
  <c r="P162" i="2" s="1"/>
  <c r="M162" i="2"/>
  <c r="L162" i="2"/>
  <c r="K162" i="2"/>
  <c r="J162" i="2" s="1"/>
  <c r="F162" i="2"/>
  <c r="E162" i="2" s="1"/>
  <c r="R161" i="2"/>
  <c r="S161" i="2" s="1"/>
  <c r="L161" i="2"/>
  <c r="K161" i="2"/>
  <c r="J161" i="2" s="1"/>
  <c r="F161" i="2"/>
  <c r="E161" i="2"/>
  <c r="R160" i="2"/>
  <c r="S160" i="2" s="1"/>
  <c r="Q160" i="2"/>
  <c r="P160" i="2" s="1"/>
  <c r="L160" i="2"/>
  <c r="K160" i="2"/>
  <c r="J160" i="2" s="1"/>
  <c r="F160" i="2"/>
  <c r="E160" i="2" s="1"/>
  <c r="R159" i="2"/>
  <c r="S159" i="2" s="1"/>
  <c r="Q159" i="2"/>
  <c r="P159" i="2" s="1"/>
  <c r="M159" i="2"/>
  <c r="L159" i="2"/>
  <c r="K159" i="2"/>
  <c r="J159" i="2" s="1"/>
  <c r="F159" i="2"/>
  <c r="E159" i="2" s="1"/>
  <c r="R158" i="2"/>
  <c r="S158" i="2" s="1"/>
  <c r="M158" i="2"/>
  <c r="L158" i="2"/>
  <c r="K158" i="2"/>
  <c r="J158" i="2" s="1"/>
  <c r="F158" i="2"/>
  <c r="E158" i="2" s="1"/>
  <c r="R157" i="2"/>
  <c r="S157" i="2" s="1"/>
  <c r="Q157" i="2"/>
  <c r="P157" i="2" s="1"/>
  <c r="M157" i="2"/>
  <c r="L157" i="2"/>
  <c r="K157" i="2"/>
  <c r="J157" i="2" s="1"/>
  <c r="F157" i="2"/>
  <c r="E157" i="2" s="1"/>
  <c r="R156" i="2"/>
  <c r="S156" i="2" s="1"/>
  <c r="L156" i="2"/>
  <c r="K156" i="2"/>
  <c r="J156" i="2" s="1"/>
  <c r="F156" i="2"/>
  <c r="E156" i="2" s="1"/>
  <c r="R155" i="2"/>
  <c r="S155" i="2" s="1"/>
  <c r="L155" i="2"/>
  <c r="K155" i="2"/>
  <c r="J155" i="2" s="1"/>
  <c r="F155" i="2"/>
  <c r="E155" i="2" s="1"/>
  <c r="R154" i="2"/>
  <c r="S154" i="2" s="1"/>
  <c r="L154" i="2"/>
  <c r="K154" i="2"/>
  <c r="J154" i="2" s="1"/>
  <c r="F154" i="2"/>
  <c r="E154" i="2" s="1"/>
  <c r="R153" i="2"/>
  <c r="S153" i="2" s="1"/>
  <c r="M153" i="2"/>
  <c r="L153" i="2"/>
  <c r="K153" i="2"/>
  <c r="J153" i="2" s="1"/>
  <c r="F153" i="2"/>
  <c r="E153" i="2" s="1"/>
  <c r="R152" i="2"/>
  <c r="S152" i="2" s="1"/>
  <c r="L152" i="2"/>
  <c r="K152" i="2"/>
  <c r="J152" i="2" s="1"/>
  <c r="F152" i="2"/>
  <c r="E152" i="2" s="1"/>
  <c r="R151" i="2"/>
  <c r="S151" i="2" s="1"/>
  <c r="M151" i="2"/>
  <c r="L151" i="2"/>
  <c r="K151" i="2"/>
  <c r="J151" i="2" s="1"/>
  <c r="F151" i="2"/>
  <c r="E151" i="2"/>
  <c r="R150" i="2"/>
  <c r="S150" i="2" s="1"/>
  <c r="M150" i="2"/>
  <c r="L150" i="2"/>
  <c r="K150" i="2"/>
  <c r="J150" i="2" s="1"/>
  <c r="F150" i="2"/>
  <c r="E150" i="2" s="1"/>
  <c r="R149" i="2"/>
  <c r="S149" i="2" s="1"/>
  <c r="M149" i="2"/>
  <c r="L149" i="2"/>
  <c r="K149" i="2"/>
  <c r="J149" i="2" s="1"/>
  <c r="F149" i="2"/>
  <c r="E149" i="2" s="1"/>
  <c r="R148" i="2"/>
  <c r="S148" i="2" s="1"/>
  <c r="L148" i="2"/>
  <c r="F148" i="2"/>
  <c r="E148" i="2" s="1"/>
  <c r="R147" i="2"/>
  <c r="S147" i="2" s="1"/>
  <c r="L147" i="2"/>
  <c r="K147" i="2"/>
  <c r="J147" i="2" s="1"/>
  <c r="F147" i="2"/>
  <c r="E147" i="2" s="1"/>
  <c r="R146" i="2"/>
  <c r="S146" i="2" s="1"/>
  <c r="L146" i="2"/>
  <c r="K146" i="2"/>
  <c r="J146" i="2" s="1"/>
  <c r="F146" i="2"/>
  <c r="E146" i="2" s="1"/>
  <c r="R145" i="2"/>
  <c r="S145" i="2" s="1"/>
  <c r="L145" i="2"/>
  <c r="K145" i="2"/>
  <c r="J145" i="2" s="1"/>
  <c r="F145" i="2"/>
  <c r="E145" i="2" s="1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U22" i="2"/>
  <c r="U14" i="2"/>
</calcChain>
</file>

<file path=xl/sharedStrings.xml><?xml version="1.0" encoding="utf-8"?>
<sst xmlns="http://schemas.openxmlformats.org/spreadsheetml/2006/main" count="1503" uniqueCount="463">
  <si>
    <t>Sample</t>
  </si>
  <si>
    <t>Paper</t>
  </si>
  <si>
    <t>Country</t>
  </si>
  <si>
    <t>Area</t>
  </si>
  <si>
    <t>Bedrock</t>
  </si>
  <si>
    <t>pH</t>
  </si>
  <si>
    <t>Temp</t>
  </si>
  <si>
    <t>Fe</t>
  </si>
  <si>
    <t>Mn</t>
  </si>
  <si>
    <t>Zn</t>
  </si>
  <si>
    <t>Mg</t>
  </si>
  <si>
    <t>White Island F3</t>
  </si>
  <si>
    <t>One Thousand Springs</t>
  </si>
  <si>
    <t>New Zealand</t>
  </si>
  <si>
    <t>Whakatane</t>
  </si>
  <si>
    <t>Andesitic/Dacitic</t>
  </si>
  <si>
    <t>White Island F17</t>
  </si>
  <si>
    <t>White Island F18</t>
  </si>
  <si>
    <t>HVE01</t>
  </si>
  <si>
    <t>Emilia Arteaga Poso (2022)</t>
  </si>
  <si>
    <t>Iceland</t>
  </si>
  <si>
    <t>Hveragerdi</t>
  </si>
  <si>
    <t>Basaltic</t>
  </si>
  <si>
    <t>KRY_SE_3.5</t>
  </si>
  <si>
    <t>Krysuvík</t>
  </si>
  <si>
    <t>Grand 2</t>
  </si>
  <si>
    <t>Grensdalur</t>
  </si>
  <si>
    <t>OLK 3</t>
  </si>
  <si>
    <t>Olkelduhals</t>
  </si>
  <si>
    <t>HVE02</t>
  </si>
  <si>
    <t>KRY_SE_2</t>
  </si>
  <si>
    <t>KRY_CM_4</t>
  </si>
  <si>
    <t>KRY_CM_JB1</t>
  </si>
  <si>
    <t>OLK 4</t>
  </si>
  <si>
    <t>OLK 1</t>
  </si>
  <si>
    <t>KRY_CM_5</t>
  </si>
  <si>
    <t>Grand 8</t>
  </si>
  <si>
    <t>Frying Pan Lake F1</t>
  </si>
  <si>
    <t>Waimangu</t>
  </si>
  <si>
    <t>Frying Pan Lake F3</t>
  </si>
  <si>
    <t>Lake Rotomahana F4</t>
  </si>
  <si>
    <t>Grand 1</t>
  </si>
  <si>
    <t>Grand 3</t>
  </si>
  <si>
    <t>Grand 4</t>
  </si>
  <si>
    <t>Grand 5</t>
  </si>
  <si>
    <t>Grand 6</t>
  </si>
  <si>
    <t>Grand 7</t>
  </si>
  <si>
    <t>Helo</t>
  </si>
  <si>
    <t>Hellesteidi</t>
  </si>
  <si>
    <t>Helo 2</t>
  </si>
  <si>
    <t>Helo 3</t>
  </si>
  <si>
    <t>Helo 4</t>
  </si>
  <si>
    <t>KRY_SE_3</t>
  </si>
  <si>
    <t>OLK 2</t>
  </si>
  <si>
    <t>Flu 1</t>
  </si>
  <si>
    <t>Flúdir</t>
  </si>
  <si>
    <t>Basaltic/Sandstone</t>
  </si>
  <si>
    <t>Flu 2</t>
  </si>
  <si>
    <t>Figure 8</t>
  </si>
  <si>
    <t>United States</t>
  </si>
  <si>
    <t>Yellowstone</t>
  </si>
  <si>
    <t>Glacial deposits</t>
  </si>
  <si>
    <t>Obsidian</t>
  </si>
  <si>
    <t>Emerald City</t>
  </si>
  <si>
    <t>Lacustrine deposits</t>
  </si>
  <si>
    <t>WB02</t>
  </si>
  <si>
    <t>AZ Surprise</t>
  </si>
  <si>
    <t>Rastaman</t>
  </si>
  <si>
    <t>Angel Hair</t>
  </si>
  <si>
    <t>Boomerang</t>
  </si>
  <si>
    <t>Citronella</t>
  </si>
  <si>
    <t>Slippery Slope</t>
  </si>
  <si>
    <t>Orakei Korako F15</t>
  </si>
  <si>
    <t>Taupo</t>
  </si>
  <si>
    <t>Rhyolitic</t>
  </si>
  <si>
    <t>Acid Bridge</t>
  </si>
  <si>
    <t>Golden Springs F3</t>
  </si>
  <si>
    <t>Reporoa</t>
  </si>
  <si>
    <t>Golden Springs F2</t>
  </si>
  <si>
    <t>Butchers Pool</t>
  </si>
  <si>
    <t>Golden Springs F1</t>
  </si>
  <si>
    <t>Golden Springs F4</t>
  </si>
  <si>
    <t>GCR02</t>
  </si>
  <si>
    <t>GCR04</t>
  </si>
  <si>
    <t>GCR06</t>
  </si>
  <si>
    <t>Azure Pool</t>
  </si>
  <si>
    <t>Beryl</t>
  </si>
  <si>
    <t>Bison Pool</t>
  </si>
  <si>
    <t>Black Hole Sun</t>
  </si>
  <si>
    <t>Bone Pool</t>
  </si>
  <si>
    <t>Boulder Spring</t>
  </si>
  <si>
    <t>Broken Dreams</t>
  </si>
  <si>
    <t>Chad</t>
  </si>
  <si>
    <t>Corner Thing</t>
  </si>
  <si>
    <t>Empress</t>
  </si>
  <si>
    <t>Gassy Gibbon</t>
  </si>
  <si>
    <t>Lower Bat Pool</t>
  </si>
  <si>
    <t>Moms Spaghetti</t>
  </si>
  <si>
    <t>Mound Spring</t>
  </si>
  <si>
    <t>Phantom Fumerole</t>
  </si>
  <si>
    <t>Portal Spillage</t>
  </si>
  <si>
    <t>Salami</t>
  </si>
  <si>
    <t>Scaffold</t>
  </si>
  <si>
    <t>Spitting Croissant</t>
  </si>
  <si>
    <t>Splash Mountain</t>
  </si>
  <si>
    <t>The Hammer</t>
  </si>
  <si>
    <t>Zoidberg</t>
  </si>
  <si>
    <t>GCR01</t>
  </si>
  <si>
    <t>GCR05</t>
  </si>
  <si>
    <t>GCR07</t>
  </si>
  <si>
    <t>GCR10</t>
  </si>
  <si>
    <t>GCR11</t>
  </si>
  <si>
    <t>GRV03</t>
  </si>
  <si>
    <t>SMH01</t>
  </si>
  <si>
    <t>SMH02</t>
  </si>
  <si>
    <t>SMH03</t>
  </si>
  <si>
    <t>KER_YSS</t>
  </si>
  <si>
    <t>Kerlingarfjöll</t>
  </si>
  <si>
    <t>Rhyolitic/Basaltic</t>
  </si>
  <si>
    <t>KER_RUST</t>
  </si>
  <si>
    <t>KER_YSSB</t>
  </si>
  <si>
    <t>Alum Cliffs F10</t>
  </si>
  <si>
    <t>Waiotapu</t>
  </si>
  <si>
    <t>Rhyolitic/Greywacke</t>
  </si>
  <si>
    <t>Devils Bath</t>
  </si>
  <si>
    <t>Alum Cliffs F3</t>
  </si>
  <si>
    <t>Alum Cliffs F6</t>
  </si>
  <si>
    <t>Alum Cliffs F9</t>
  </si>
  <si>
    <t>Alum Cliffs F13</t>
  </si>
  <si>
    <t>Alum Cliffs F2</t>
  </si>
  <si>
    <t>Artists Palette F2</t>
  </si>
  <si>
    <t>Wairakei Terraces F19</t>
  </si>
  <si>
    <t>Wairakei-Tauhara</t>
  </si>
  <si>
    <t>Rhyolitic/Ignimbrite</t>
  </si>
  <si>
    <t>ETA F1</t>
  </si>
  <si>
    <t>ETA F2</t>
  </si>
  <si>
    <t>Tikitere F68</t>
  </si>
  <si>
    <t>Rotorua</t>
  </si>
  <si>
    <t>Rhyolitic/Siltstone</t>
  </si>
  <si>
    <t>Whakarewarewa F65</t>
  </si>
  <si>
    <t>Arikikapakapa F3</t>
  </si>
  <si>
    <t>Te Puia F55</t>
  </si>
  <si>
    <t>Whakarewarewa F107</t>
  </si>
  <si>
    <t>Arikikapakapa F6</t>
  </si>
  <si>
    <t>Arikikapakapa F10</t>
  </si>
  <si>
    <t>Arikikapakapa F2</t>
  </si>
  <si>
    <t>Arikikapakapa F5</t>
  </si>
  <si>
    <t>Arikikapakapa F8</t>
  </si>
  <si>
    <t>Arikikapakapa F9</t>
  </si>
  <si>
    <t>Arikikapakapa F4</t>
  </si>
  <si>
    <t>Arikikapakapa F1</t>
  </si>
  <si>
    <t>Arikikapakapa F7</t>
  </si>
  <si>
    <t>Te Puia F53</t>
  </si>
  <si>
    <t>Hotel Blowout F3</t>
  </si>
  <si>
    <t>Hotel Blowout F4</t>
  </si>
  <si>
    <t>Hotel Blowout F5</t>
  </si>
  <si>
    <t>Kuirau Park F3</t>
  </si>
  <si>
    <t>Kuirau Park F16</t>
  </si>
  <si>
    <t>Kuirau Park F22</t>
  </si>
  <si>
    <t>Kuirau Park F23</t>
  </si>
  <si>
    <t>Kuirau Park F34</t>
  </si>
  <si>
    <t>Kuirau Park F37</t>
  </si>
  <si>
    <t>Kuirau Park F39</t>
  </si>
  <si>
    <t>Kuirau Park F43</t>
  </si>
  <si>
    <t>Little Hottie</t>
  </si>
  <si>
    <t>Rhyolitic/Tuff</t>
  </si>
  <si>
    <t>Avocado</t>
  </si>
  <si>
    <t>Bijah</t>
  </si>
  <si>
    <t>Bubbling Blonde</t>
  </si>
  <si>
    <t>Cinder Pool</t>
  </si>
  <si>
    <t>Coral Snake</t>
  </si>
  <si>
    <t>Flamethrower</t>
  </si>
  <si>
    <t>Lobster Claw</t>
  </si>
  <si>
    <t>Perpetual Spouter</t>
  </si>
  <si>
    <t>Red Bubbler</t>
  </si>
  <si>
    <t>Sylvan Spring</t>
  </si>
  <si>
    <t>Yuppie Sulfur</t>
  </si>
  <si>
    <t>Substrate</t>
  </si>
  <si>
    <t>Fe (ppm)</t>
  </si>
  <si>
    <t>Mo (ppm)</t>
  </si>
  <si>
    <t>V (ppm)</t>
  </si>
  <si>
    <t>Cu (ppm)</t>
  </si>
  <si>
    <t>Ni (ppm)</t>
  </si>
  <si>
    <t>Mn (ppm)</t>
  </si>
  <si>
    <t>Mg (ppm)</t>
  </si>
  <si>
    <t>Co (ppm)</t>
  </si>
  <si>
    <t>Zn (ppm)</t>
  </si>
  <si>
    <t>Basalt</t>
  </si>
  <si>
    <t xml:space="preserve">Rhyolite  </t>
  </si>
  <si>
    <t>Some spring data was taken from the One Thousand Springs Project (https://1000springs.org.nz/licence). This dataset was generated by Matthew Stott (GNS Science) and Craig Cary (University of Waikato).</t>
  </si>
  <si>
    <t>Galloway et al. (under review)</t>
  </si>
  <si>
    <t>This study</t>
  </si>
  <si>
    <t>FeO (ppm)</t>
  </si>
  <si>
    <t>Fe2O3 (ppm)</t>
  </si>
  <si>
    <t>MnO (ppm)</t>
  </si>
  <si>
    <t>SiO2 (ppm)</t>
  </si>
  <si>
    <t>ZnO (ppm)</t>
  </si>
  <si>
    <t>MgO (ppm)</t>
  </si>
  <si>
    <t>Arnórsson and Óskarsson (2007)</t>
  </si>
  <si>
    <t>nf1</t>
  </si>
  <si>
    <t>Conversions</t>
  </si>
  <si>
    <t>nf10</t>
  </si>
  <si>
    <t>FeO</t>
  </si>
  <si>
    <t>nf11</t>
  </si>
  <si>
    <t>nf12</t>
  </si>
  <si>
    <t>nf13</t>
  </si>
  <si>
    <t>nf2</t>
  </si>
  <si>
    <t>Fe2O3</t>
  </si>
  <si>
    <t>nf3</t>
  </si>
  <si>
    <t>nf4</t>
  </si>
  <si>
    <t>nf5</t>
  </si>
  <si>
    <t>nf6</t>
  </si>
  <si>
    <t>ZnO</t>
  </si>
  <si>
    <t>nf7</t>
  </si>
  <si>
    <t>nf8</t>
  </si>
  <si>
    <t>nf9</t>
  </si>
  <si>
    <t>sk1</t>
  </si>
  <si>
    <t>MnO</t>
  </si>
  <si>
    <t>sk10</t>
  </si>
  <si>
    <t>sk11</t>
  </si>
  <si>
    <t>sk12</t>
  </si>
  <si>
    <t>sk13</t>
  </si>
  <si>
    <t>MgO</t>
  </si>
  <si>
    <t>sk17</t>
  </si>
  <si>
    <t>sk2</t>
  </si>
  <si>
    <t>sk25</t>
  </si>
  <si>
    <t>sk26</t>
  </si>
  <si>
    <t>sk27</t>
  </si>
  <si>
    <t>sk29</t>
  </si>
  <si>
    <t>sk3</t>
  </si>
  <si>
    <t>sk30</t>
  </si>
  <si>
    <t>sk34</t>
  </si>
  <si>
    <t>sk35</t>
  </si>
  <si>
    <t>sk36</t>
  </si>
  <si>
    <t>sk4</t>
  </si>
  <si>
    <t>sk5</t>
  </si>
  <si>
    <t>sk6</t>
  </si>
  <si>
    <t>NAL 594HYA</t>
  </si>
  <si>
    <t>Basaltic glass</t>
  </si>
  <si>
    <t>KR90</t>
  </si>
  <si>
    <t>Basaltic Icelandite</t>
  </si>
  <si>
    <t>KR91</t>
  </si>
  <si>
    <t>Fe-rich tholeiite</t>
  </si>
  <si>
    <t>KR46</t>
  </si>
  <si>
    <t>Icelandite</t>
  </si>
  <si>
    <t>KR86</t>
  </si>
  <si>
    <t xml:space="preserve">KR4 </t>
  </si>
  <si>
    <t>Mixed eruptives</t>
  </si>
  <si>
    <t>KR24</t>
  </si>
  <si>
    <t>KR29</t>
  </si>
  <si>
    <t>KR42</t>
  </si>
  <si>
    <t>Olivine Tholeiite</t>
  </si>
  <si>
    <t>BTHO</t>
  </si>
  <si>
    <t>KK31</t>
  </si>
  <si>
    <t>KR88</t>
  </si>
  <si>
    <t>NAL 594BAS</t>
  </si>
  <si>
    <t xml:space="preserve">NAL 595 </t>
  </si>
  <si>
    <t>NAL 595PR</t>
  </si>
  <si>
    <t>NAL 596</t>
  </si>
  <si>
    <t>NAL 598</t>
  </si>
  <si>
    <t>NAL 599</t>
  </si>
  <si>
    <t xml:space="preserve">NAL 600 </t>
  </si>
  <si>
    <t>NAL 600PR</t>
  </si>
  <si>
    <t>NAL 605</t>
  </si>
  <si>
    <t>NAL 606</t>
  </si>
  <si>
    <t>NAL 607</t>
  </si>
  <si>
    <t>NAL 608</t>
  </si>
  <si>
    <t>NAL 609</t>
  </si>
  <si>
    <t>NAL 610</t>
  </si>
  <si>
    <t>NAL 611</t>
  </si>
  <si>
    <t>NAL 611PR</t>
  </si>
  <si>
    <t>KR14</t>
  </si>
  <si>
    <t>A1</t>
  </si>
  <si>
    <t>Rhyolite pumice</t>
  </si>
  <si>
    <t>KK56</t>
  </si>
  <si>
    <t>KR10</t>
  </si>
  <si>
    <t>Tholeiite</t>
  </si>
  <si>
    <t>Du et al. (2017)</t>
  </si>
  <si>
    <t>10SS-5-1</t>
  </si>
  <si>
    <t>South China</t>
  </si>
  <si>
    <t>15SX-12-1</t>
  </si>
  <si>
    <t>09WN-1-1</t>
  </si>
  <si>
    <t>10SS-12-1</t>
  </si>
  <si>
    <t>10SS-14-1</t>
  </si>
  <si>
    <t>10SS-2-1</t>
  </si>
  <si>
    <t>10SS-3-2</t>
  </si>
  <si>
    <t>10SS-4-2</t>
  </si>
  <si>
    <t>10SS-8-1</t>
  </si>
  <si>
    <t>15SX-1-1</t>
  </si>
  <si>
    <t>15SX-10-1</t>
  </si>
  <si>
    <t>15SX-10-2</t>
  </si>
  <si>
    <t>15SX-11-1</t>
  </si>
  <si>
    <t>15SX-2</t>
  </si>
  <si>
    <t>15SX-3-2</t>
  </si>
  <si>
    <t>15VN-19-1</t>
  </si>
  <si>
    <t>North Vietnam</t>
  </si>
  <si>
    <t>15VN-19-2</t>
  </si>
  <si>
    <t>15VN-20-1</t>
  </si>
  <si>
    <t>15VN-20-3</t>
  </si>
  <si>
    <t>15VN-21-2</t>
  </si>
  <si>
    <t>15VN-22-1</t>
  </si>
  <si>
    <t>15VN-23-1</t>
  </si>
  <si>
    <t>15VN-49-1</t>
  </si>
  <si>
    <t>15VN-50-1</t>
  </si>
  <si>
    <t>Lodders (1998)</t>
  </si>
  <si>
    <t>QUE 94201</t>
  </si>
  <si>
    <t>Basaltic shergottite</t>
  </si>
  <si>
    <t>Mars meteorite</t>
  </si>
  <si>
    <t>Shergotty</t>
  </si>
  <si>
    <t>Y-93605</t>
  </si>
  <si>
    <t>Zagami</t>
  </si>
  <si>
    <t>Chassigny</t>
  </si>
  <si>
    <t>LEW 88516</t>
  </si>
  <si>
    <t>ALH 77005</t>
  </si>
  <si>
    <t>Lherzolitic shergottite</t>
  </si>
  <si>
    <t>G. Valadares</t>
  </si>
  <si>
    <t>Nakhlite</t>
  </si>
  <si>
    <t>Lafayette</t>
  </si>
  <si>
    <t>Nakhla</t>
  </si>
  <si>
    <t>EET 79001A</t>
  </si>
  <si>
    <t>Olivine phyric shergottite</t>
  </si>
  <si>
    <t>EET 79001B</t>
  </si>
  <si>
    <t>ALH 84001</t>
  </si>
  <si>
    <t>Orthopyroxenite</t>
  </si>
  <si>
    <t>Ming et al. (2008)</t>
  </si>
  <si>
    <t>Boroughs</t>
  </si>
  <si>
    <t>Basaltic soil</t>
  </si>
  <si>
    <t>Mars in situ</t>
  </si>
  <si>
    <t>Doubloon</t>
  </si>
  <si>
    <t>Gobi</t>
  </si>
  <si>
    <t>Liberty</t>
  </si>
  <si>
    <t>Panda</t>
  </si>
  <si>
    <t>Paso Robles</t>
  </si>
  <si>
    <t>Gertrude Weise</t>
  </si>
  <si>
    <t>Eileen Dean</t>
  </si>
  <si>
    <t>Rooyakkers et al. (2021)</t>
  </si>
  <si>
    <t>KR-169</t>
  </si>
  <si>
    <t>KR-106</t>
  </si>
  <si>
    <t>Rhyolite</t>
  </si>
  <si>
    <t>KR-112</t>
  </si>
  <si>
    <t>KR-128</t>
  </si>
  <si>
    <t>KR-24</t>
  </si>
  <si>
    <t>KR-14-n</t>
  </si>
  <si>
    <t>KR-179</t>
  </si>
  <si>
    <t>Saby et al. (2022)</t>
  </si>
  <si>
    <t>Krafla_fresh_basalt</t>
  </si>
  <si>
    <t>Thei_alt_basalt</t>
  </si>
  <si>
    <t>Thei_fresh_basalt</t>
  </si>
  <si>
    <t>Stefansson and Arnórsson (2005)</t>
  </si>
  <si>
    <t>TR-130</t>
  </si>
  <si>
    <t>A-5</t>
  </si>
  <si>
    <t>NF6</t>
  </si>
  <si>
    <t>Yang et al. (2015)</t>
  </si>
  <si>
    <t>BUR20-09</t>
  </si>
  <si>
    <t>HEK02-09</t>
  </si>
  <si>
    <t>HEK03-09</t>
  </si>
  <si>
    <t>HEK04-09</t>
  </si>
  <si>
    <t>HEK05-09</t>
  </si>
  <si>
    <t>HEK06-09</t>
  </si>
  <si>
    <t>HEK07-09</t>
  </si>
  <si>
    <t>HEK08-09</t>
  </si>
  <si>
    <t>HEK09-09</t>
  </si>
  <si>
    <t>HEK12-09</t>
  </si>
  <si>
    <t>HEK13-09</t>
  </si>
  <si>
    <t>HEK14-09</t>
  </si>
  <si>
    <t>HEK16-09</t>
  </si>
  <si>
    <t>HEK17-09</t>
  </si>
  <si>
    <t>HEK21-09</t>
  </si>
  <si>
    <t>HEK01-10</t>
  </si>
  <si>
    <t>HEK03-10</t>
  </si>
  <si>
    <t>Payré et al. (2019)</t>
  </si>
  <si>
    <t>Lennard</t>
  </si>
  <si>
    <t>Sandstone</t>
  </si>
  <si>
    <t>Yulleroo</t>
  </si>
  <si>
    <t>Conglomerate</t>
  </si>
  <si>
    <t>Elvire</t>
  </si>
  <si>
    <t>CC_BT_0604a</t>
  </si>
  <si>
    <t>Soil</t>
  </si>
  <si>
    <t>Liga</t>
  </si>
  <si>
    <t>Harms</t>
  </si>
  <si>
    <t>Nullara</t>
  </si>
  <si>
    <t>Moogana</t>
  </si>
  <si>
    <t>Kalumburo</t>
  </si>
  <si>
    <t>Square_Top_2</t>
  </si>
  <si>
    <t>Eastman</t>
  </si>
  <si>
    <t>Wallal</t>
  </si>
  <si>
    <t>Stephen</t>
  </si>
  <si>
    <t>Fracture fill</t>
  </si>
  <si>
    <t>Stephen_DP</t>
  </si>
  <si>
    <t>Neil</t>
  </si>
  <si>
    <t>Mondooma</t>
  </si>
  <si>
    <t>Mahoney</t>
  </si>
  <si>
    <t>Angelo</t>
  </si>
  <si>
    <t>Trachyandesite</t>
  </si>
  <si>
    <t>Wu et al. (2021)</t>
  </si>
  <si>
    <t>LQ-B3</t>
  </si>
  <si>
    <t>China</t>
  </si>
  <si>
    <t>LQ-B6</t>
  </si>
  <si>
    <t>LQ-B7</t>
  </si>
  <si>
    <t>LQ-B9</t>
  </si>
  <si>
    <t>LQ-B12</t>
  </si>
  <si>
    <t>LQ-B17</t>
  </si>
  <si>
    <t>LQ-B18</t>
  </si>
  <si>
    <t>XY-B1</t>
  </si>
  <si>
    <t>XY-B2</t>
  </si>
  <si>
    <t>XY-B5</t>
  </si>
  <si>
    <t>YG-B1</t>
  </si>
  <si>
    <t>YG-B2</t>
  </si>
  <si>
    <t>YG-B4</t>
  </si>
  <si>
    <t>YG-B7</t>
  </si>
  <si>
    <t>YG-B9</t>
  </si>
  <si>
    <t>YG-B10</t>
  </si>
  <si>
    <t>YG-B13</t>
  </si>
  <si>
    <t>Rudnick and Gao (2014)</t>
  </si>
  <si>
    <t>Upper continental crust</t>
  </si>
  <si>
    <t>Mars basaltic soil (in situ)</t>
  </si>
  <si>
    <t>Mars conglomerate (in situ)</t>
  </si>
  <si>
    <t>Mars sandstone (in situ)</t>
  </si>
  <si>
    <t>Mars basaltic shergottite</t>
  </si>
  <si>
    <t>Mars lherzolitic shergottite</t>
  </si>
  <si>
    <t>Mars olivine phyric shergottite</t>
  </si>
  <si>
    <t>DO (mg/L)</t>
  </si>
  <si>
    <t>SO4 (ppm)</t>
  </si>
  <si>
    <t>S (ppm)</t>
  </si>
  <si>
    <t>FeT (ppm)</t>
  </si>
  <si>
    <t>Mo (ppb)</t>
  </si>
  <si>
    <t>V (ppb)</t>
  </si>
  <si>
    <t>Co (ppb)</t>
  </si>
  <si>
    <t>Ni (ppb)</t>
  </si>
  <si>
    <t>Cu (ppb)</t>
  </si>
  <si>
    <t>Zn (ppb)</t>
  </si>
  <si>
    <t>Colman et al (2024)</t>
  </si>
  <si>
    <t xml:space="preserve">Galloway, T., Cousins, C.R., Stüeken, E.E., Telling, J., Boden, J.S., Stead, C.E., Greco, C., Moreras-Marti, A., Fox-Powell, M.G., Nixon, S.L. Biological Nitrogen Cycling within Terrestrial Hot Springs: A Mars Analogue System (in review). </t>
  </si>
  <si>
    <t>Chassignite/Dunite</t>
  </si>
  <si>
    <t>Mars nakhlite</t>
  </si>
  <si>
    <t>OLK_R1_22</t>
  </si>
  <si>
    <t>OLK_JB2_22</t>
  </si>
  <si>
    <t>OLK_TBS1_22</t>
  </si>
  <si>
    <t>OLK_TBS2_22</t>
  </si>
  <si>
    <t>*below detection is written as 0</t>
  </si>
  <si>
    <t>Mars chassignite/dunite*</t>
  </si>
  <si>
    <t>Obsidian*</t>
  </si>
  <si>
    <t>Mars orthopyroxenite*</t>
  </si>
  <si>
    <t>*single sample</t>
  </si>
  <si>
    <t>Mars trachyandesite (in situ)*</t>
  </si>
  <si>
    <t>Upper continental crust*</t>
  </si>
  <si>
    <t>Basalt**</t>
  </si>
  <si>
    <t>Rhyolite***</t>
  </si>
  <si>
    <t>** includes tholeittes and Icelandites</t>
  </si>
  <si>
    <t>***includes rhyolite pumice</t>
  </si>
  <si>
    <r>
      <t xml:space="preserve">Arnórsson, S. and Óskarsson, N. 2007. Molybdenum and tungsten in volcanic rocks and in surface and &lt;100 °C ground waters in Iceland. </t>
    </r>
    <r>
      <rPr>
        <i/>
        <sz val="12"/>
        <color rgb="FF000000"/>
        <rFont val="Aptos"/>
      </rPr>
      <t>Geochimica et Cosmochimica Acta</t>
    </r>
    <r>
      <rPr>
        <sz val="12"/>
        <color rgb="FF000000"/>
        <rFont val="Aptos"/>
      </rPr>
      <t xml:space="preserve"> 71(2), pp. 284–304. doi: 10.1016/j.gca.2006.09.030.</t>
    </r>
  </si>
  <si>
    <r>
      <t xml:space="preserve">Colman, D.R. et al. 2024. Covariation of hot spring geochemistry with microbial genomic diversity, function, and evolution. </t>
    </r>
    <r>
      <rPr>
        <i/>
        <sz val="12"/>
        <color rgb="FF000000"/>
        <rFont val="Aptos"/>
      </rPr>
      <t>Nature Communications 2024 15:1</t>
    </r>
    <r>
      <rPr>
        <sz val="12"/>
        <color rgb="FF000000"/>
        <rFont val="Aptos"/>
      </rPr>
      <t xml:space="preserve"> 15(1), pp. 1–22. Available at: https://www.nature.com/articles/s41467-024-51841-5 [Accessed: 25 September 2024].</t>
    </r>
  </si>
  <si>
    <r>
      <t xml:space="preserve">Du, D.H., Wang, X.L., Yang, T., Chen, X., Li, J.Y. and Li, W. 2017. Origin of heavy Fe isotope compositions in high-silica igneous rocks: A rhyolite perspective. </t>
    </r>
    <r>
      <rPr>
        <i/>
        <sz val="12"/>
        <color rgb="FF000000"/>
        <rFont val="Aptos"/>
      </rPr>
      <t>Geochimica et Cosmochimica Acta</t>
    </r>
    <r>
      <rPr>
        <sz val="12"/>
        <color rgb="FF000000"/>
        <rFont val="Aptos"/>
      </rPr>
      <t xml:space="preserve"> 218, pp. 58–72. doi: 10.1016/J.GCA.2017.09.014.</t>
    </r>
  </si>
  <si>
    <r>
      <t xml:space="preserve">Emilia Arteaga Poso, M. 2022. </t>
    </r>
    <r>
      <rPr>
        <i/>
        <sz val="12"/>
        <color rgb="FF000000"/>
        <rFont val="Aptos"/>
      </rPr>
      <t>CHEMICAL SPECIATION IN HOT SPRINGS HOSTED IN RHYOLITIC AND BASALTIC HOST ROCK: YELLOWSTONE AND ICELAND</t>
    </r>
    <r>
      <rPr>
        <sz val="12"/>
        <color rgb="FF000000"/>
        <rFont val="Aptos"/>
      </rPr>
      <t>. Montana: Montana Technological University. Available at: https://digitalcommons.mtech.edu/grad_rsch [Accessed: 26 July 2023].</t>
    </r>
  </si>
  <si>
    <r>
      <t xml:space="preserve">Lodders, K. 1998. A survey of shergottite, nakhlite and chassigny meteorites whole-rock compositions. </t>
    </r>
    <r>
      <rPr>
        <i/>
        <sz val="12"/>
        <color rgb="FF000000"/>
        <rFont val="Aptos"/>
      </rPr>
      <t>Meteoritics &amp; Planetary Science</t>
    </r>
    <r>
      <rPr>
        <sz val="12"/>
        <color rgb="FF000000"/>
        <rFont val="Aptos"/>
      </rPr>
      <t xml:space="preserve"> 33(S4), pp. A183–A190. Available at: https://onlinelibrary.wiley.com/doi/full/10.1111/j.1945-5100.1998.tb01331.x [Accessed: 14 March 2023].</t>
    </r>
  </si>
  <si>
    <r>
      <t xml:space="preserve">Ming, D.W. et al. 2008. Geochemical properties of rocks and soils in Gusev Crater, Mars: Results of the Alpha Particle X-Ray Spectrometer from Cumberland Ridge to Home Plate. </t>
    </r>
    <r>
      <rPr>
        <i/>
        <sz val="12"/>
        <color rgb="FF000000"/>
        <rFont val="Aptos"/>
      </rPr>
      <t>Journal of Geophysical Research: Planets</t>
    </r>
    <r>
      <rPr>
        <sz val="12"/>
        <color rgb="FF000000"/>
        <rFont val="Aptos"/>
      </rPr>
      <t xml:space="preserve"> 113(E12). Available at: https://onlinelibrary.wiley.com/doi/full/10.1029/2008JE003195 [Accessed: 9 March 2023].</t>
    </r>
  </si>
  <si>
    <r>
      <t xml:space="preserve">Payré, V. et al. 2019. Copper enrichments in the Kimberley formation in Gale crater, Mars: Evidence for a Cu deposit at the source. </t>
    </r>
    <r>
      <rPr>
        <i/>
        <sz val="12"/>
        <color rgb="FF000000"/>
        <rFont val="Aptos"/>
      </rPr>
      <t>Icarus</t>
    </r>
    <r>
      <rPr>
        <sz val="12"/>
        <color rgb="FF000000"/>
        <rFont val="Aptos"/>
      </rPr>
      <t xml:space="preserve"> 321, pp. 736–751. doi: 10.1016/J.ICARUS.2018.12.015.</t>
    </r>
  </si>
  <si>
    <r>
      <t xml:space="preserve">Rooyakkers, S.M., Stix, J., Berlo, K., Petrelli, M., Hampton, R.L., Barker, S.J. and Morgavi, D. 2021. The Origin of Rhyolitic Magmas at Krafla Central Volcano (Iceland). </t>
    </r>
    <r>
      <rPr>
        <i/>
        <sz val="12"/>
        <color rgb="FF000000"/>
        <rFont val="Aptos"/>
      </rPr>
      <t>Journal of Petrology</t>
    </r>
    <r>
      <rPr>
        <sz val="12"/>
        <color rgb="FF000000"/>
        <rFont val="Aptos"/>
      </rPr>
      <t xml:space="preserve"> 62(8), pp. 1–27. Available at: https://dx.doi.org/10.1093/petrology/egab064 [Accessed: 14 March 2024].</t>
    </r>
  </si>
  <si>
    <r>
      <t xml:space="preserve">Rudnick, R.L. and Gao, S. 2003. Composition of the Continental Crust. In: Holland, H. D. and Turekian, K. K. eds. </t>
    </r>
    <r>
      <rPr>
        <i/>
        <sz val="12"/>
        <color theme="1"/>
        <rFont val="Aptos"/>
      </rPr>
      <t>Treatise on Geochemistry</t>
    </r>
    <r>
      <rPr>
        <sz val="12"/>
        <color theme="1"/>
        <rFont val="Aptos"/>
      </rPr>
      <t>. pp. 1–64. doi: https://doi.org/10.1016/B0-08-043751-6/03016-4.</t>
    </r>
  </si>
  <si>
    <r>
      <t xml:space="preserve">Saby, M. et al. 2022. The behaviour of metals in deep fluids of NE Iceland. </t>
    </r>
    <r>
      <rPr>
        <i/>
        <sz val="12"/>
        <color rgb="FF000000"/>
        <rFont val="Aptos"/>
      </rPr>
      <t>Scientific Reports 2022 12:1</t>
    </r>
    <r>
      <rPr>
        <sz val="12"/>
        <color rgb="FF000000"/>
        <rFont val="Aptos"/>
      </rPr>
      <t xml:space="preserve"> 12(1), pp. 1–11. Available at: https://www.nature.com/articles/s41598-022-26028-x [Accessed: 20 December 2022].</t>
    </r>
  </si>
  <si>
    <r>
      <t xml:space="preserve">Stefansson, A. and Arnórsson, S. 2005. </t>
    </r>
    <r>
      <rPr>
        <i/>
        <sz val="12"/>
        <color rgb="FF000000"/>
        <rFont val="Aptos"/>
      </rPr>
      <t>The Geochemistry of As, Mo, Sb, and W in Natural Geothermal Waters, Iceland</t>
    </r>
    <r>
      <rPr>
        <sz val="12"/>
        <color rgb="FF000000"/>
        <rFont val="Aptos"/>
      </rPr>
      <t>. Available at: https://www.researchgate.net/publication/267254549.</t>
    </r>
  </si>
  <si>
    <r>
      <t xml:space="preserve">Wu, W., Qu, S., Nel, W. and Ji, J. 2021. The influence of natural weathering on the behavior of heavy metals in small basaltic watersheds: A comparative study from different regions in China. </t>
    </r>
    <r>
      <rPr>
        <i/>
        <sz val="12"/>
        <color rgb="FF000000"/>
        <rFont val="Aptos"/>
      </rPr>
      <t>Chemosphere</t>
    </r>
    <r>
      <rPr>
        <sz val="12"/>
        <color rgb="FF000000"/>
        <rFont val="Aptos"/>
      </rPr>
      <t xml:space="preserve"> 262. doi: 10.1016/j.chemosphere.2020.127897.</t>
    </r>
  </si>
  <si>
    <r>
      <t xml:space="preserve">Yang, J., Siebert, C., Barling, J., Savage, P., Liang, Y.H. and Halliday, A.N. 2015. Absence of molybdenum isotope fractionation during magmatic differentiation at Hekla volcano, Iceland. </t>
    </r>
    <r>
      <rPr>
        <i/>
        <sz val="12"/>
        <color rgb="FF000000"/>
        <rFont val="Aptos"/>
      </rPr>
      <t>Geochimica et Cosmochimica Acta</t>
    </r>
    <r>
      <rPr>
        <sz val="12"/>
        <color rgb="FF000000"/>
        <rFont val="Aptos"/>
      </rPr>
      <t xml:space="preserve"> 162, pp. 126–136. doi: 10.1016/J.GCA.2015.04.011.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</si>
</sst>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theme="1"/>
      <name val="Aptos"/>
    </font>
    <font>
      <sz val="12"/>
      <color rgb="FF000000"/>
      <name val="Aptos"/>
    </font>
    <font>
      <i/>
      <sz val="12"/>
      <color rgb="FF000000"/>
      <name val="Aptos"/>
    </font>
    <font>
      <i/>
      <sz val="12"/>
      <color theme="1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horizontal="left"/>
    </xf>
    <xf numFmtId="0" fontId="0" fillId="0" borderId="9" xfId="0" applyBorder="1"/>
    <xf numFmtId="0" fontId="3" fillId="0" borderId="9" xfId="0" applyFont="1" applyBorder="1"/>
    <xf numFmtId="0" fontId="4" fillId="0" borderId="9" xfId="0" applyFont="1" applyBorder="1"/>
    <xf numFmtId="0" fontId="4" fillId="0" borderId="0" xfId="0" applyFont="1"/>
    <xf numFmtId="0" fontId="2" fillId="0" borderId="9" xfId="0" applyFont="1" applyBorder="1"/>
    <xf numFmtId="0" fontId="4" fillId="0" borderId="1" xfId="0" applyFont="1" applyBorder="1"/>
    <xf numFmtId="0" fontId="4" fillId="0" borderId="10" xfId="0" applyFont="1" applyBorder="1"/>
    <xf numFmtId="0" fontId="4" fillId="0" borderId="2" xfId="0" applyFont="1" applyBorder="1"/>
    <xf numFmtId="0" fontId="4" fillId="2" borderId="11" xfId="0" applyFont="1" applyFill="1" applyBorder="1"/>
    <xf numFmtId="0" fontId="4" fillId="2" borderId="12" xfId="0" applyFont="1" applyFill="1" applyBorder="1"/>
    <xf numFmtId="0" fontId="4" fillId="2" borderId="13" xfId="0" applyFont="1" applyFill="1" applyBorder="1"/>
    <xf numFmtId="0" fontId="4" fillId="2" borderId="9" xfId="0" applyFont="1" applyFill="1" applyBorder="1"/>
    <xf numFmtId="0" fontId="5" fillId="0" borderId="0" xfId="0" applyFont="1"/>
    <xf numFmtId="0" fontId="5" fillId="0" borderId="0" xfId="1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1000springs.org.nz/lic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B5F70-56DA-2942-A122-B82FB477B5B6}">
  <dimension ref="A1:T141"/>
  <sheetViews>
    <sheetView tabSelected="1" workbookViewId="0">
      <selection activeCell="K24" sqref="K24"/>
    </sheetView>
  </sheetViews>
  <sheetFormatPr defaultColWidth="11" defaultRowHeight="15.75" x14ac:dyDescent="0.25"/>
  <cols>
    <col min="1" max="1" width="27.375" bestFit="1" customWidth="1"/>
    <col min="2" max="2" width="25.375" bestFit="1" customWidth="1"/>
    <col min="3" max="3" width="12" bestFit="1" customWidth="1"/>
    <col min="5" max="5" width="18.125" bestFit="1" customWidth="1"/>
    <col min="22" max="22" width="27.375" bestFit="1" customWidth="1"/>
  </cols>
  <sheetData>
    <row r="1" spans="1:20" s="13" customFormat="1" x14ac:dyDescent="0.2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421</v>
      </c>
      <c r="I1" s="16" t="s">
        <v>422</v>
      </c>
      <c r="J1" s="16" t="s">
        <v>423</v>
      </c>
      <c r="K1" s="16" t="s">
        <v>424</v>
      </c>
      <c r="L1" s="16" t="s">
        <v>425</v>
      </c>
      <c r="M1" s="16" t="s">
        <v>426</v>
      </c>
      <c r="N1" s="16" t="s">
        <v>195</v>
      </c>
      <c r="O1" s="16" t="s">
        <v>183</v>
      </c>
      <c r="P1" s="16" t="s">
        <v>427</v>
      </c>
      <c r="Q1" s="16" t="s">
        <v>428</v>
      </c>
      <c r="R1" s="16" t="s">
        <v>429</v>
      </c>
      <c r="S1" s="16" t="s">
        <v>430</v>
      </c>
      <c r="T1" s="17" t="s">
        <v>184</v>
      </c>
    </row>
    <row r="2" spans="1:20" x14ac:dyDescent="0.25">
      <c r="A2" t="s">
        <v>65</v>
      </c>
      <c r="B2" t="s">
        <v>431</v>
      </c>
      <c r="C2" t="s">
        <v>59</v>
      </c>
      <c r="D2" t="s">
        <v>60</v>
      </c>
      <c r="E2" t="s">
        <v>64</v>
      </c>
      <c r="F2">
        <v>2.8410000000000002</v>
      </c>
      <c r="G2">
        <v>71.099999999999994</v>
      </c>
      <c r="H2">
        <v>1.01</v>
      </c>
      <c r="I2">
        <v>2710</v>
      </c>
      <c r="J2">
        <v>1.9139999999999999</v>
      </c>
      <c r="K2">
        <v>12.5</v>
      </c>
      <c r="L2">
        <v>0</v>
      </c>
      <c r="M2">
        <v>59.036000739999999</v>
      </c>
      <c r="N2">
        <v>140</v>
      </c>
      <c r="O2">
        <v>0.400182763</v>
      </c>
      <c r="P2">
        <v>5</v>
      </c>
      <c r="Q2">
        <v>17.97329362</v>
      </c>
      <c r="R2">
        <v>10</v>
      </c>
      <c r="S2">
        <v>75.090643679999999</v>
      </c>
      <c r="T2">
        <v>14.2</v>
      </c>
    </row>
    <row r="3" spans="1:20" x14ac:dyDescent="0.25">
      <c r="A3" t="s">
        <v>82</v>
      </c>
      <c r="B3" t="s">
        <v>431</v>
      </c>
      <c r="C3" t="s">
        <v>59</v>
      </c>
      <c r="D3" t="s">
        <v>60</v>
      </c>
      <c r="E3" t="s">
        <v>74</v>
      </c>
      <c r="F3">
        <v>4</v>
      </c>
      <c r="G3">
        <v>76.099999999999994</v>
      </c>
      <c r="H3">
        <v>0.4</v>
      </c>
      <c r="I3">
        <v>186</v>
      </c>
      <c r="J3">
        <v>3.4000000000000002E-2</v>
      </c>
      <c r="K3">
        <v>0.74590715299999999</v>
      </c>
      <c r="L3">
        <v>12.462237289999999</v>
      </c>
      <c r="M3">
        <v>0</v>
      </c>
      <c r="N3">
        <v>219.5</v>
      </c>
      <c r="O3">
        <v>6.7052022000000003E-2</v>
      </c>
      <c r="P3">
        <v>0</v>
      </c>
      <c r="Q3">
        <v>1.25</v>
      </c>
      <c r="R3">
        <v>0</v>
      </c>
      <c r="S3">
        <v>13.27070471</v>
      </c>
      <c r="T3">
        <v>0</v>
      </c>
    </row>
    <row r="4" spans="1:20" x14ac:dyDescent="0.25">
      <c r="A4" t="s">
        <v>83</v>
      </c>
      <c r="B4" t="s">
        <v>431</v>
      </c>
      <c r="C4" t="s">
        <v>59</v>
      </c>
      <c r="D4" t="s">
        <v>60</v>
      </c>
      <c r="E4" t="s">
        <v>74</v>
      </c>
      <c r="F4">
        <v>5.2149999999999999</v>
      </c>
      <c r="G4">
        <v>66.8</v>
      </c>
      <c r="H4">
        <v>0.7</v>
      </c>
      <c r="I4">
        <v>145</v>
      </c>
      <c r="J4">
        <v>1.7000000000000001E-2</v>
      </c>
      <c r="K4">
        <v>0.17319732900000001</v>
      </c>
      <c r="L4">
        <v>25.489025030000001</v>
      </c>
      <c r="M4">
        <v>0</v>
      </c>
      <c r="N4">
        <v>202</v>
      </c>
      <c r="O4">
        <v>6.8715898999999997E-2</v>
      </c>
      <c r="P4">
        <v>0</v>
      </c>
      <c r="Q4">
        <v>1.25</v>
      </c>
      <c r="R4">
        <v>0</v>
      </c>
      <c r="S4">
        <v>3.795473898</v>
      </c>
      <c r="T4">
        <v>0</v>
      </c>
    </row>
    <row r="5" spans="1:20" x14ac:dyDescent="0.25">
      <c r="A5" t="s">
        <v>84</v>
      </c>
      <c r="B5" t="s">
        <v>431</v>
      </c>
      <c r="C5" t="s">
        <v>59</v>
      </c>
      <c r="D5" t="s">
        <v>60</v>
      </c>
      <c r="E5" t="s">
        <v>74</v>
      </c>
      <c r="F5">
        <v>6.79</v>
      </c>
      <c r="G5">
        <v>83.1</v>
      </c>
      <c r="H5">
        <v>0.45</v>
      </c>
      <c r="I5">
        <v>96.7</v>
      </c>
      <c r="J5">
        <v>0.44800000000000001</v>
      </c>
      <c r="K5">
        <v>1.2500000000000001E-2</v>
      </c>
      <c r="L5">
        <v>4.4126304349999996</v>
      </c>
      <c r="M5">
        <v>0</v>
      </c>
      <c r="N5">
        <v>151</v>
      </c>
      <c r="O5">
        <v>1.1278580999999999E-2</v>
      </c>
      <c r="P5">
        <v>0</v>
      </c>
      <c r="Q5">
        <v>1.25</v>
      </c>
      <c r="R5">
        <v>0</v>
      </c>
      <c r="S5">
        <v>4.7578445489999996</v>
      </c>
      <c r="T5">
        <v>0</v>
      </c>
    </row>
    <row r="6" spans="1:20" x14ac:dyDescent="0.25">
      <c r="A6" t="s">
        <v>107</v>
      </c>
      <c r="B6" t="s">
        <v>431</v>
      </c>
      <c r="C6" t="s">
        <v>59</v>
      </c>
      <c r="D6" t="s">
        <v>60</v>
      </c>
      <c r="E6" t="s">
        <v>74</v>
      </c>
      <c r="F6">
        <v>6.18</v>
      </c>
      <c r="G6">
        <v>83.2</v>
      </c>
      <c r="H6">
        <v>0.38</v>
      </c>
      <c r="I6">
        <v>93.3</v>
      </c>
      <c r="J6">
        <v>0.67500000000000004</v>
      </c>
      <c r="K6">
        <v>0</v>
      </c>
      <c r="L6">
        <v>47.922584950000001</v>
      </c>
      <c r="M6">
        <v>0</v>
      </c>
      <c r="N6">
        <v>235</v>
      </c>
      <c r="O6">
        <v>9.1988412000000006E-2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 t="s">
        <v>108</v>
      </c>
      <c r="B7" t="s">
        <v>431</v>
      </c>
      <c r="C7" t="s">
        <v>59</v>
      </c>
      <c r="D7" t="s">
        <v>60</v>
      </c>
      <c r="E7" t="s">
        <v>74</v>
      </c>
      <c r="F7">
        <v>8.4149999999999991</v>
      </c>
      <c r="G7">
        <v>69.8</v>
      </c>
      <c r="H7">
        <v>0.02</v>
      </c>
      <c r="I7">
        <v>114</v>
      </c>
      <c r="J7">
        <v>2.78</v>
      </c>
      <c r="K7">
        <v>0.05</v>
      </c>
      <c r="L7">
        <v>81.441711850000004</v>
      </c>
      <c r="M7">
        <v>0</v>
      </c>
      <c r="N7">
        <v>265.5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 t="s">
        <v>109</v>
      </c>
      <c r="B8" t="s">
        <v>431</v>
      </c>
      <c r="C8" t="s">
        <v>59</v>
      </c>
      <c r="D8" t="s">
        <v>60</v>
      </c>
      <c r="E8" t="s">
        <v>74</v>
      </c>
      <c r="F8">
        <v>6.077</v>
      </c>
      <c r="G8">
        <v>85.8</v>
      </c>
      <c r="H8">
        <v>1.2999999999999999E-2</v>
      </c>
      <c r="I8">
        <v>163</v>
      </c>
      <c r="J8">
        <v>0.51500000000000001</v>
      </c>
      <c r="K8">
        <v>0</v>
      </c>
      <c r="L8">
        <v>52.8</v>
      </c>
      <c r="M8">
        <v>0</v>
      </c>
      <c r="N8">
        <v>201.5</v>
      </c>
      <c r="O8">
        <v>0</v>
      </c>
      <c r="P8">
        <v>0</v>
      </c>
      <c r="Q8">
        <v>0</v>
      </c>
      <c r="R8">
        <v>0</v>
      </c>
      <c r="S8">
        <v>214</v>
      </c>
      <c r="T8">
        <v>0</v>
      </c>
    </row>
    <row r="9" spans="1:20" x14ac:dyDescent="0.25">
      <c r="A9" t="s">
        <v>110</v>
      </c>
      <c r="B9" t="s">
        <v>431</v>
      </c>
      <c r="C9" t="s">
        <v>59</v>
      </c>
      <c r="D9" t="s">
        <v>60</v>
      </c>
      <c r="E9" t="s">
        <v>74</v>
      </c>
      <c r="F9">
        <v>6.0170000000000003</v>
      </c>
      <c r="G9">
        <v>77.3</v>
      </c>
      <c r="H9">
        <v>0.16400000000000001</v>
      </c>
      <c r="I9">
        <v>145</v>
      </c>
      <c r="J9">
        <v>7.2999999999999995E-2</v>
      </c>
      <c r="K9">
        <v>0</v>
      </c>
      <c r="L9">
        <v>79.7</v>
      </c>
      <c r="M9">
        <v>0</v>
      </c>
      <c r="N9">
        <v>223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 t="s">
        <v>111</v>
      </c>
      <c r="B10" t="s">
        <v>431</v>
      </c>
      <c r="C10" t="s">
        <v>59</v>
      </c>
      <c r="D10" t="s">
        <v>60</v>
      </c>
      <c r="E10" t="s">
        <v>74</v>
      </c>
      <c r="F10">
        <v>6.6070000000000002</v>
      </c>
      <c r="G10">
        <v>73.7</v>
      </c>
      <c r="H10">
        <v>0.84199999999999997</v>
      </c>
      <c r="I10">
        <v>91.4</v>
      </c>
      <c r="J10">
        <v>1.6E-2</v>
      </c>
      <c r="K10">
        <v>0</v>
      </c>
      <c r="L10">
        <v>109</v>
      </c>
      <c r="M10">
        <v>0</v>
      </c>
      <c r="N10">
        <v>173.5</v>
      </c>
      <c r="O10">
        <v>0</v>
      </c>
      <c r="P10">
        <v>0</v>
      </c>
      <c r="Q10">
        <v>0</v>
      </c>
      <c r="R10">
        <v>0</v>
      </c>
      <c r="S10">
        <v>27</v>
      </c>
      <c r="T10">
        <v>0</v>
      </c>
    </row>
    <row r="11" spans="1:20" x14ac:dyDescent="0.25">
      <c r="A11" t="s">
        <v>112</v>
      </c>
      <c r="B11" t="s">
        <v>431</v>
      </c>
      <c r="C11" t="s">
        <v>59</v>
      </c>
      <c r="D11" t="s">
        <v>60</v>
      </c>
      <c r="E11" t="s">
        <v>74</v>
      </c>
      <c r="F11">
        <v>6.83</v>
      </c>
      <c r="G11">
        <v>89.2</v>
      </c>
      <c r="H11">
        <v>8.0000000000000002E-3</v>
      </c>
      <c r="I11">
        <v>215</v>
      </c>
      <c r="J11">
        <v>0.09</v>
      </c>
      <c r="K11">
        <v>0</v>
      </c>
      <c r="L11">
        <v>0</v>
      </c>
      <c r="M11">
        <v>0</v>
      </c>
      <c r="N11">
        <v>89.2</v>
      </c>
      <c r="O11">
        <v>0.55826845000000003</v>
      </c>
      <c r="P11">
        <v>0</v>
      </c>
      <c r="Q11">
        <v>0</v>
      </c>
      <c r="R11">
        <v>1.444114122</v>
      </c>
      <c r="S11">
        <v>1.5455712079999999</v>
      </c>
      <c r="T11">
        <v>0</v>
      </c>
    </row>
    <row r="12" spans="1:20" x14ac:dyDescent="0.25">
      <c r="A12" t="s">
        <v>113</v>
      </c>
      <c r="B12" t="s">
        <v>431</v>
      </c>
      <c r="C12" t="s">
        <v>59</v>
      </c>
      <c r="D12" t="s">
        <v>60</v>
      </c>
      <c r="E12" t="s">
        <v>74</v>
      </c>
      <c r="F12">
        <v>6.5250000000000004</v>
      </c>
      <c r="G12">
        <v>77.400000000000006</v>
      </c>
      <c r="H12">
        <v>7.0000000000000007E-2</v>
      </c>
      <c r="I12">
        <v>478</v>
      </c>
      <c r="J12">
        <v>2.5</v>
      </c>
      <c r="K12">
        <v>0</v>
      </c>
      <c r="L12">
        <v>0</v>
      </c>
      <c r="M12">
        <v>0</v>
      </c>
      <c r="N12">
        <v>236</v>
      </c>
      <c r="O12">
        <v>0.311</v>
      </c>
      <c r="P12">
        <v>0</v>
      </c>
      <c r="Q12">
        <v>0</v>
      </c>
      <c r="R12">
        <v>0</v>
      </c>
      <c r="S12">
        <v>0</v>
      </c>
      <c r="T12">
        <v>15.8</v>
      </c>
    </row>
    <row r="13" spans="1:20" x14ac:dyDescent="0.25">
      <c r="A13" t="s">
        <v>114</v>
      </c>
      <c r="B13" t="s">
        <v>431</v>
      </c>
      <c r="C13" t="s">
        <v>59</v>
      </c>
      <c r="D13" t="s">
        <v>60</v>
      </c>
      <c r="E13" t="s">
        <v>74</v>
      </c>
      <c r="F13">
        <v>6.3010000000000002</v>
      </c>
      <c r="G13">
        <v>67.8</v>
      </c>
      <c r="H13">
        <v>0.01</v>
      </c>
      <c r="I13">
        <v>227</v>
      </c>
      <c r="J13">
        <v>3.61</v>
      </c>
      <c r="K13">
        <v>7.3400000000000007E-2</v>
      </c>
      <c r="L13">
        <v>0</v>
      </c>
      <c r="M13">
        <v>0</v>
      </c>
      <c r="N13">
        <v>190</v>
      </c>
      <c r="O13">
        <v>0.38</v>
      </c>
      <c r="P13">
        <v>0</v>
      </c>
      <c r="Q13">
        <v>0</v>
      </c>
      <c r="R13">
        <v>0</v>
      </c>
      <c r="S13">
        <v>0</v>
      </c>
      <c r="T13">
        <v>13.1</v>
      </c>
    </row>
    <row r="14" spans="1:20" x14ac:dyDescent="0.25">
      <c r="A14" t="s">
        <v>115</v>
      </c>
      <c r="B14" t="s">
        <v>431</v>
      </c>
      <c r="C14" t="s">
        <v>59</v>
      </c>
      <c r="D14" t="s">
        <v>60</v>
      </c>
      <c r="E14" t="s">
        <v>74</v>
      </c>
      <c r="F14">
        <v>8</v>
      </c>
      <c r="G14">
        <v>74.099999999999994</v>
      </c>
      <c r="H14">
        <v>1.02</v>
      </c>
      <c r="I14">
        <v>98</v>
      </c>
      <c r="J14">
        <v>2.57</v>
      </c>
      <c r="K14">
        <v>0</v>
      </c>
      <c r="L14">
        <v>49.8</v>
      </c>
      <c r="M14">
        <v>0</v>
      </c>
      <c r="N14">
        <v>500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 t="s">
        <v>18</v>
      </c>
      <c r="B15" t="s">
        <v>19</v>
      </c>
      <c r="C15" t="s">
        <v>20</v>
      </c>
      <c r="D15" t="s">
        <v>21</v>
      </c>
      <c r="E15" t="s">
        <v>22</v>
      </c>
      <c r="F15">
        <v>2.6</v>
      </c>
      <c r="G15">
        <v>83.8</v>
      </c>
      <c r="H15">
        <v>4.48E-2</v>
      </c>
      <c r="I15">
        <v>362.14620000000002</v>
      </c>
      <c r="J15">
        <v>6.4140000000000004E-3</v>
      </c>
      <c r="K15">
        <v>26.244800000000001</v>
      </c>
      <c r="L15">
        <v>0</v>
      </c>
      <c r="M15">
        <v>20.3766</v>
      </c>
      <c r="N15">
        <v>180.24</v>
      </c>
      <c r="O15">
        <v>1.66022636</v>
      </c>
      <c r="P15">
        <v>40.334400000000002</v>
      </c>
      <c r="Q15">
        <v>160.81991600000001</v>
      </c>
      <c r="R15">
        <v>117.56010000000001</v>
      </c>
      <c r="S15">
        <v>1063.0788</v>
      </c>
      <c r="T15">
        <v>20.003015000000001</v>
      </c>
    </row>
    <row r="16" spans="1:20" x14ac:dyDescent="0.25">
      <c r="A16" t="s">
        <v>25</v>
      </c>
      <c r="B16" t="s">
        <v>19</v>
      </c>
      <c r="C16" t="s">
        <v>20</v>
      </c>
      <c r="D16" t="s">
        <v>26</v>
      </c>
      <c r="E16" t="s">
        <v>22</v>
      </c>
      <c r="F16">
        <v>2.65</v>
      </c>
      <c r="G16">
        <v>86.6</v>
      </c>
      <c r="H16">
        <v>4.1599999999999998E-2</v>
      </c>
      <c r="I16">
        <v>280.49520000000001</v>
      </c>
      <c r="J16">
        <v>0.115452</v>
      </c>
      <c r="K16">
        <v>49.139200000000002</v>
      </c>
      <c r="L16">
        <v>0</v>
      </c>
      <c r="M16">
        <v>201.21892500000001</v>
      </c>
      <c r="N16">
        <v>126.16800000000001</v>
      </c>
      <c r="O16">
        <v>0.76363820000000004</v>
      </c>
      <c r="P16">
        <v>2.4088599999999998</v>
      </c>
      <c r="Q16">
        <v>67.497410000000002</v>
      </c>
      <c r="R16">
        <v>5.6555939999999998</v>
      </c>
      <c r="S16">
        <v>431.50799999999998</v>
      </c>
      <c r="T16">
        <v>1.336775</v>
      </c>
    </row>
    <row r="17" spans="1:20" x14ac:dyDescent="0.25">
      <c r="A17" t="s">
        <v>27</v>
      </c>
      <c r="B17" t="s">
        <v>19</v>
      </c>
      <c r="C17" t="s">
        <v>20</v>
      </c>
      <c r="D17" t="s">
        <v>28</v>
      </c>
      <c r="E17" t="s">
        <v>22</v>
      </c>
      <c r="F17">
        <v>2.59</v>
      </c>
      <c r="G17">
        <v>94.4</v>
      </c>
      <c r="H17">
        <v>7.0400000000000004E-2</v>
      </c>
      <c r="I17">
        <v>763.67700000000002</v>
      </c>
      <c r="J17">
        <v>4.1690999999999999E-2</v>
      </c>
      <c r="K17">
        <v>44.113599999999998</v>
      </c>
      <c r="L17">
        <v>0</v>
      </c>
      <c r="M17">
        <v>249.61335</v>
      </c>
      <c r="N17">
        <v>180.24</v>
      </c>
      <c r="O17">
        <v>0.35764637999999999</v>
      </c>
      <c r="P17">
        <v>19.606999999999999</v>
      </c>
      <c r="Q17">
        <v>67.497410000000002</v>
      </c>
      <c r="R17">
        <v>15.8865</v>
      </c>
      <c r="S17">
        <v>207.9084</v>
      </c>
      <c r="T17">
        <v>5.9547249999999998</v>
      </c>
    </row>
    <row r="18" spans="1:20" x14ac:dyDescent="0.25">
      <c r="A18" t="s">
        <v>29</v>
      </c>
      <c r="B18" t="s">
        <v>19</v>
      </c>
      <c r="C18" t="s">
        <v>20</v>
      </c>
      <c r="D18" t="s">
        <v>21</v>
      </c>
      <c r="E18" t="s">
        <v>22</v>
      </c>
      <c r="F18">
        <v>3.03</v>
      </c>
      <c r="G18">
        <v>93.6</v>
      </c>
      <c r="H18">
        <v>6.4000000000000003E-3</v>
      </c>
      <c r="I18">
        <v>406.3338</v>
      </c>
      <c r="J18">
        <v>6.4140000000000004E-3</v>
      </c>
      <c r="K18">
        <v>40.763199999999998</v>
      </c>
      <c r="L18">
        <v>0</v>
      </c>
      <c r="M18">
        <v>45.847349999999999</v>
      </c>
      <c r="N18">
        <v>198.26400000000001</v>
      </c>
      <c r="O18">
        <v>1.8602006799999999</v>
      </c>
      <c r="P18">
        <v>9.8034999999999997</v>
      </c>
      <c r="Q18">
        <v>61.628070000000001</v>
      </c>
      <c r="R18">
        <v>0</v>
      </c>
      <c r="S18">
        <v>2120.2734</v>
      </c>
      <c r="T18">
        <v>27.464649999999999</v>
      </c>
    </row>
    <row r="19" spans="1:20" x14ac:dyDescent="0.25">
      <c r="A19" t="s">
        <v>33</v>
      </c>
      <c r="B19" t="s">
        <v>19</v>
      </c>
      <c r="C19" t="s">
        <v>20</v>
      </c>
      <c r="D19" t="s">
        <v>28</v>
      </c>
      <c r="E19" t="s">
        <v>22</v>
      </c>
      <c r="F19">
        <v>2.52</v>
      </c>
      <c r="G19">
        <v>66.8</v>
      </c>
      <c r="H19">
        <v>3.5200000000000002E-2</v>
      </c>
      <c r="I19">
        <v>99.9024</v>
      </c>
      <c r="J19">
        <v>6.4140000000000004E-3</v>
      </c>
      <c r="K19">
        <v>2.2336</v>
      </c>
      <c r="L19">
        <v>4.1258499999999998</v>
      </c>
      <c r="M19">
        <v>5.09415</v>
      </c>
      <c r="N19">
        <v>36.048000000000002</v>
      </c>
      <c r="O19">
        <v>3.5160320000000002E-2</v>
      </c>
      <c r="P19">
        <v>0.78427999999999998</v>
      </c>
      <c r="Q19">
        <v>3.3455238</v>
      </c>
      <c r="R19">
        <v>0</v>
      </c>
      <c r="S19">
        <v>35.959000000000003</v>
      </c>
      <c r="T19">
        <v>0.43992049999999999</v>
      </c>
    </row>
    <row r="20" spans="1:20" x14ac:dyDescent="0.25">
      <c r="A20" t="s">
        <v>34</v>
      </c>
      <c r="B20" t="s">
        <v>19</v>
      </c>
      <c r="C20" t="s">
        <v>20</v>
      </c>
      <c r="D20" t="s">
        <v>28</v>
      </c>
      <c r="E20" t="s">
        <v>22</v>
      </c>
      <c r="F20">
        <v>3.28</v>
      </c>
      <c r="G20">
        <v>69.2</v>
      </c>
      <c r="H20">
        <v>0.65600000000000003</v>
      </c>
      <c r="I20">
        <v>95.099400000000003</v>
      </c>
      <c r="J20">
        <v>3.2070000000000002E-3</v>
      </c>
      <c r="K20">
        <v>39.088000000000001</v>
      </c>
      <c r="L20">
        <v>0</v>
      </c>
      <c r="M20">
        <v>50.533968000000002</v>
      </c>
      <c r="N20">
        <v>132.17599999999999</v>
      </c>
      <c r="O20">
        <v>4.7999330599999999</v>
      </c>
      <c r="P20">
        <v>0.72826000000000002</v>
      </c>
      <c r="Q20">
        <v>2.9346700000000001</v>
      </c>
      <c r="R20">
        <v>0</v>
      </c>
      <c r="S20">
        <v>592.34280000000001</v>
      </c>
      <c r="T20">
        <v>38.158850000000001</v>
      </c>
    </row>
    <row r="21" spans="1:20" x14ac:dyDescent="0.25">
      <c r="A21" t="s">
        <v>36</v>
      </c>
      <c r="B21" t="s">
        <v>19</v>
      </c>
      <c r="C21" t="s">
        <v>20</v>
      </c>
      <c r="D21" t="s">
        <v>26</v>
      </c>
      <c r="E21" t="s">
        <v>22</v>
      </c>
      <c r="F21">
        <v>6.72</v>
      </c>
      <c r="G21">
        <v>83.7</v>
      </c>
      <c r="H21">
        <v>7.3599999999999999E-2</v>
      </c>
      <c r="I21">
        <v>45.148200000000003</v>
      </c>
      <c r="J21">
        <v>0.121866</v>
      </c>
      <c r="K21">
        <v>0</v>
      </c>
      <c r="L21">
        <v>0</v>
      </c>
      <c r="M21">
        <v>10.0354755</v>
      </c>
      <c r="N21">
        <v>90.12</v>
      </c>
      <c r="O21">
        <v>5.2740479999999999E-2</v>
      </c>
      <c r="P21">
        <v>0</v>
      </c>
      <c r="Q21">
        <v>0.53997927999999995</v>
      </c>
      <c r="R21">
        <v>0</v>
      </c>
      <c r="S21">
        <v>0</v>
      </c>
      <c r="T21">
        <v>1.6260045000000001</v>
      </c>
    </row>
    <row r="22" spans="1:20" x14ac:dyDescent="0.25">
      <c r="A22" t="s">
        <v>41</v>
      </c>
      <c r="B22" t="s">
        <v>19</v>
      </c>
      <c r="C22" t="s">
        <v>20</v>
      </c>
      <c r="D22" t="s">
        <v>26</v>
      </c>
      <c r="E22" t="s">
        <v>22</v>
      </c>
      <c r="F22">
        <v>6.04</v>
      </c>
      <c r="G22">
        <v>90.3</v>
      </c>
      <c r="H22">
        <v>2.5600000000000001E-2</v>
      </c>
      <c r="I22">
        <v>219.97739999999999</v>
      </c>
      <c r="J22">
        <v>6.4140000000000004E-3</v>
      </c>
      <c r="K22">
        <v>0</v>
      </c>
      <c r="L22">
        <v>0</v>
      </c>
      <c r="M22">
        <v>7.1827515000000002</v>
      </c>
      <c r="N22">
        <v>120.16</v>
      </c>
      <c r="O22">
        <v>0.35050443999999997</v>
      </c>
      <c r="P22">
        <v>0</v>
      </c>
      <c r="Q22">
        <v>0</v>
      </c>
      <c r="R22">
        <v>0</v>
      </c>
      <c r="S22">
        <v>0</v>
      </c>
      <c r="T22">
        <v>4.4721200000000003</v>
      </c>
    </row>
    <row r="23" spans="1:20" x14ac:dyDescent="0.25">
      <c r="A23" t="s">
        <v>42</v>
      </c>
      <c r="B23" t="s">
        <v>19</v>
      </c>
      <c r="C23" t="s">
        <v>20</v>
      </c>
      <c r="D23" t="s">
        <v>26</v>
      </c>
      <c r="E23" t="s">
        <v>22</v>
      </c>
      <c r="F23">
        <v>4.3899999999999997</v>
      </c>
      <c r="G23">
        <v>93.9</v>
      </c>
      <c r="H23">
        <v>1.9199999999999998E-2</v>
      </c>
      <c r="I23">
        <v>79.345560000000006</v>
      </c>
      <c r="J23">
        <v>2.2449E-2</v>
      </c>
      <c r="K23">
        <v>5.5840000000000004E-3</v>
      </c>
      <c r="L23">
        <v>2.3987500000000002</v>
      </c>
      <c r="M23">
        <v>18.6955305</v>
      </c>
      <c r="N23">
        <v>78.103999999999999</v>
      </c>
      <c r="O23">
        <v>5.8234279999999999E-2</v>
      </c>
      <c r="P23">
        <v>0</v>
      </c>
      <c r="Q23">
        <v>0</v>
      </c>
      <c r="R23">
        <v>0</v>
      </c>
      <c r="S23">
        <v>7.9763599999999997</v>
      </c>
      <c r="T23">
        <v>0.41075450000000002</v>
      </c>
    </row>
    <row r="24" spans="1:20" x14ac:dyDescent="0.25">
      <c r="A24" t="s">
        <v>43</v>
      </c>
      <c r="B24" t="s">
        <v>19</v>
      </c>
      <c r="C24" t="s">
        <v>20</v>
      </c>
      <c r="D24" t="s">
        <v>26</v>
      </c>
      <c r="E24" t="s">
        <v>22</v>
      </c>
      <c r="F24">
        <v>3.71</v>
      </c>
      <c r="G24">
        <v>93.3</v>
      </c>
      <c r="H24">
        <v>6.4000000000000003E-3</v>
      </c>
      <c r="I24">
        <v>62.246879999999997</v>
      </c>
      <c r="J24">
        <v>0.173178</v>
      </c>
      <c r="K24">
        <v>0.33504</v>
      </c>
      <c r="L24">
        <v>0.67164999999999997</v>
      </c>
      <c r="M24">
        <v>1.5282450000000001</v>
      </c>
      <c r="N24">
        <v>84.111999999999995</v>
      </c>
      <c r="O24">
        <v>0.26589992000000001</v>
      </c>
      <c r="P24">
        <v>0</v>
      </c>
      <c r="Q24">
        <v>0</v>
      </c>
      <c r="R24">
        <v>0</v>
      </c>
      <c r="S24">
        <v>11.4415</v>
      </c>
      <c r="T24">
        <v>3.086735</v>
      </c>
    </row>
    <row r="25" spans="1:20" x14ac:dyDescent="0.25">
      <c r="A25" t="s">
        <v>44</v>
      </c>
      <c r="B25" t="s">
        <v>19</v>
      </c>
      <c r="C25" t="s">
        <v>20</v>
      </c>
      <c r="D25" t="s">
        <v>26</v>
      </c>
      <c r="E25" t="s">
        <v>22</v>
      </c>
      <c r="F25">
        <v>7.17</v>
      </c>
      <c r="G25">
        <v>95</v>
      </c>
      <c r="H25">
        <v>1.6E-2</v>
      </c>
      <c r="I25">
        <v>32.180100000000003</v>
      </c>
      <c r="J25">
        <v>3.0498569999999998</v>
      </c>
      <c r="K25">
        <v>0</v>
      </c>
      <c r="L25">
        <v>1.4392499999999999</v>
      </c>
      <c r="M25">
        <v>3.4130805</v>
      </c>
      <c r="N25">
        <v>132.17599999999999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25">
      <c r="A26" t="s">
        <v>45</v>
      </c>
      <c r="B26" t="s">
        <v>19</v>
      </c>
      <c r="C26" t="s">
        <v>20</v>
      </c>
      <c r="D26" t="s">
        <v>26</v>
      </c>
      <c r="E26" t="s">
        <v>22</v>
      </c>
      <c r="F26">
        <v>5.45</v>
      </c>
      <c r="G26">
        <v>90.4</v>
      </c>
      <c r="H26">
        <v>0.1024</v>
      </c>
      <c r="I26">
        <v>21.421379999999999</v>
      </c>
      <c r="J26">
        <v>1.9787189999999999</v>
      </c>
      <c r="K26">
        <v>0</v>
      </c>
      <c r="L26">
        <v>0.89233499999999999</v>
      </c>
      <c r="M26">
        <v>14.671151999999999</v>
      </c>
      <c r="N26">
        <v>60.08</v>
      </c>
      <c r="O26">
        <v>2.7469E-2</v>
      </c>
      <c r="P26">
        <v>0</v>
      </c>
      <c r="Q26">
        <v>0</v>
      </c>
      <c r="R26">
        <v>0</v>
      </c>
      <c r="S26">
        <v>0</v>
      </c>
      <c r="T26">
        <v>2.04162</v>
      </c>
    </row>
    <row r="27" spans="1:20" x14ac:dyDescent="0.25">
      <c r="A27" t="s">
        <v>46</v>
      </c>
      <c r="B27" t="s">
        <v>19</v>
      </c>
      <c r="C27" t="s">
        <v>20</v>
      </c>
      <c r="D27" t="s">
        <v>26</v>
      </c>
      <c r="E27" t="s">
        <v>22</v>
      </c>
      <c r="F27">
        <v>6.32</v>
      </c>
      <c r="G27">
        <v>83.3</v>
      </c>
      <c r="H27">
        <v>4.48E-2</v>
      </c>
      <c r="I27">
        <v>44.187600000000003</v>
      </c>
      <c r="J27">
        <v>0.230904</v>
      </c>
      <c r="K27">
        <v>0</v>
      </c>
      <c r="L27">
        <v>0</v>
      </c>
      <c r="M27">
        <v>2.1395430000000002</v>
      </c>
      <c r="N27">
        <v>90.12</v>
      </c>
      <c r="O27">
        <v>2.3073960000000001E-2</v>
      </c>
      <c r="P27">
        <v>0</v>
      </c>
      <c r="Q27">
        <v>0</v>
      </c>
      <c r="R27">
        <v>0</v>
      </c>
      <c r="S27">
        <v>0</v>
      </c>
      <c r="T27">
        <v>0.23332800000000001</v>
      </c>
    </row>
    <row r="28" spans="1:20" x14ac:dyDescent="0.25">
      <c r="A28" t="s">
        <v>47</v>
      </c>
      <c r="B28" t="s">
        <v>19</v>
      </c>
      <c r="C28" t="s">
        <v>20</v>
      </c>
      <c r="D28" t="s">
        <v>48</v>
      </c>
      <c r="E28" t="s">
        <v>22</v>
      </c>
      <c r="F28">
        <v>6.3</v>
      </c>
      <c r="G28">
        <v>69.2</v>
      </c>
      <c r="H28">
        <v>3.2000000000000001E-2</v>
      </c>
      <c r="I28">
        <v>123.9174</v>
      </c>
      <c r="J28">
        <v>3.0242010000000001</v>
      </c>
      <c r="K28">
        <v>0</v>
      </c>
      <c r="L28">
        <v>0</v>
      </c>
      <c r="M28">
        <v>7.8959324999999998</v>
      </c>
      <c r="N28">
        <v>102.136</v>
      </c>
      <c r="O28">
        <v>0.31864039999999999</v>
      </c>
      <c r="P28">
        <v>0</v>
      </c>
      <c r="Q28">
        <v>0</v>
      </c>
      <c r="R28">
        <v>0</v>
      </c>
      <c r="S28">
        <v>0</v>
      </c>
      <c r="T28">
        <v>13.027480000000001</v>
      </c>
    </row>
    <row r="29" spans="1:20" x14ac:dyDescent="0.25">
      <c r="A29" t="s">
        <v>49</v>
      </c>
      <c r="B29" t="s">
        <v>19</v>
      </c>
      <c r="C29" t="s">
        <v>20</v>
      </c>
      <c r="D29" t="s">
        <v>48</v>
      </c>
      <c r="E29" t="s">
        <v>22</v>
      </c>
      <c r="F29">
        <v>4.87</v>
      </c>
      <c r="G29">
        <v>70.400000000000006</v>
      </c>
      <c r="H29">
        <v>3.2000000000000001E-2</v>
      </c>
      <c r="I29">
        <v>25.936199999999999</v>
      </c>
      <c r="J29">
        <v>2.1711390000000002</v>
      </c>
      <c r="K29">
        <v>1.17264E-2</v>
      </c>
      <c r="L29">
        <v>0</v>
      </c>
      <c r="M29">
        <v>12.276901499999999</v>
      </c>
      <c r="N29">
        <v>72.096000000000004</v>
      </c>
      <c r="O29">
        <v>0.24227657999999999</v>
      </c>
      <c r="P29">
        <v>0</v>
      </c>
      <c r="Q29">
        <v>0</v>
      </c>
      <c r="R29">
        <v>0</v>
      </c>
      <c r="S29">
        <v>0</v>
      </c>
      <c r="T29">
        <v>3.11104</v>
      </c>
    </row>
    <row r="30" spans="1:20" x14ac:dyDescent="0.25">
      <c r="A30" t="s">
        <v>50</v>
      </c>
      <c r="B30" t="s">
        <v>19</v>
      </c>
      <c r="C30" t="s">
        <v>20</v>
      </c>
      <c r="D30" t="s">
        <v>48</v>
      </c>
      <c r="E30" t="s">
        <v>22</v>
      </c>
      <c r="F30">
        <v>3.32</v>
      </c>
      <c r="G30">
        <v>94.4</v>
      </c>
      <c r="H30">
        <v>2.8799999999999999E-2</v>
      </c>
      <c r="I30">
        <v>133.52340000000001</v>
      </c>
      <c r="J30">
        <v>1.241109</v>
      </c>
      <c r="K30">
        <v>0.46905599999999997</v>
      </c>
      <c r="L30">
        <v>0</v>
      </c>
      <c r="M30">
        <v>0.49922670000000002</v>
      </c>
      <c r="N30">
        <v>90.12</v>
      </c>
      <c r="O30">
        <v>0.21920261999999999</v>
      </c>
      <c r="P30">
        <v>0</v>
      </c>
      <c r="Q30">
        <v>0</v>
      </c>
      <c r="R30">
        <v>0</v>
      </c>
      <c r="S30">
        <v>49.034999999999997</v>
      </c>
      <c r="T30">
        <v>2.7950750000000002</v>
      </c>
    </row>
    <row r="31" spans="1:20" x14ac:dyDescent="0.25">
      <c r="A31" t="s">
        <v>51</v>
      </c>
      <c r="B31" t="s">
        <v>19</v>
      </c>
      <c r="C31" t="s">
        <v>20</v>
      </c>
      <c r="D31" t="s">
        <v>48</v>
      </c>
      <c r="E31" t="s">
        <v>22</v>
      </c>
      <c r="F31">
        <v>5.71</v>
      </c>
      <c r="G31">
        <v>66.8</v>
      </c>
      <c r="H31">
        <v>4.48E-2</v>
      </c>
      <c r="I31">
        <v>81.650999999999996</v>
      </c>
      <c r="J31">
        <v>10.23033</v>
      </c>
      <c r="K31">
        <v>0</v>
      </c>
      <c r="L31">
        <v>0</v>
      </c>
      <c r="M31">
        <v>1.2531608999999999</v>
      </c>
      <c r="N31">
        <v>198.26400000000001</v>
      </c>
      <c r="O31">
        <v>6.7573739999999993E-2</v>
      </c>
      <c r="P31">
        <v>0</v>
      </c>
      <c r="Q31">
        <v>0</v>
      </c>
      <c r="R31">
        <v>0</v>
      </c>
      <c r="S31">
        <v>0</v>
      </c>
      <c r="T31">
        <v>11.885145</v>
      </c>
    </row>
    <row r="32" spans="1:20" x14ac:dyDescent="0.25">
      <c r="A32" t="s">
        <v>53</v>
      </c>
      <c r="B32" t="s">
        <v>19</v>
      </c>
      <c r="C32" t="s">
        <v>20</v>
      </c>
      <c r="D32" t="s">
        <v>28</v>
      </c>
      <c r="E32" t="s">
        <v>22</v>
      </c>
      <c r="F32">
        <v>3.53</v>
      </c>
      <c r="G32">
        <v>70.400000000000006</v>
      </c>
      <c r="H32">
        <v>0.19520000000000001</v>
      </c>
      <c r="I32">
        <v>99.9024</v>
      </c>
      <c r="J32">
        <v>2.5656000000000002E-2</v>
      </c>
      <c r="K32">
        <v>0.1396</v>
      </c>
      <c r="L32">
        <v>0</v>
      </c>
      <c r="M32">
        <v>34.6911615</v>
      </c>
      <c r="N32">
        <v>42.055999999999997</v>
      </c>
      <c r="O32">
        <v>0.32248606000000002</v>
      </c>
      <c r="P32">
        <v>0</v>
      </c>
      <c r="Q32">
        <v>0</v>
      </c>
      <c r="R32">
        <v>0</v>
      </c>
      <c r="S32">
        <v>32.036200000000001</v>
      </c>
      <c r="T32">
        <v>1.3294835</v>
      </c>
    </row>
    <row r="33" spans="1:20" x14ac:dyDescent="0.25">
      <c r="A33" t="s">
        <v>54</v>
      </c>
      <c r="B33" t="s">
        <v>19</v>
      </c>
      <c r="C33" t="s">
        <v>20</v>
      </c>
      <c r="D33" t="s">
        <v>55</v>
      </c>
      <c r="E33" t="s">
        <v>56</v>
      </c>
      <c r="F33">
        <v>7.66</v>
      </c>
      <c r="G33">
        <v>96</v>
      </c>
      <c r="H33">
        <v>2.5600000000000001E-2</v>
      </c>
      <c r="I33">
        <v>62.439</v>
      </c>
      <c r="J33">
        <v>0.33673500000000001</v>
      </c>
      <c r="K33">
        <v>0</v>
      </c>
      <c r="L33">
        <v>20.437349999999999</v>
      </c>
      <c r="M33">
        <v>16.097514</v>
      </c>
      <c r="N33">
        <v>138.184</v>
      </c>
      <c r="O33">
        <v>0</v>
      </c>
      <c r="P33">
        <v>0</v>
      </c>
      <c r="Q33">
        <v>0</v>
      </c>
      <c r="R33">
        <v>0</v>
      </c>
      <c r="S33">
        <v>0</v>
      </c>
      <c r="T33">
        <v>4.6908650000000003E-2</v>
      </c>
    </row>
    <row r="34" spans="1:20" x14ac:dyDescent="0.25">
      <c r="A34" t="s">
        <v>57</v>
      </c>
      <c r="B34" t="s">
        <v>19</v>
      </c>
      <c r="C34" t="s">
        <v>20</v>
      </c>
      <c r="D34" t="s">
        <v>55</v>
      </c>
      <c r="E34" t="s">
        <v>56</v>
      </c>
      <c r="F34">
        <v>7.95</v>
      </c>
      <c r="G34">
        <v>92</v>
      </c>
      <c r="H34">
        <v>6.4000000000000003E-3</v>
      </c>
      <c r="I34">
        <v>62.439</v>
      </c>
      <c r="J34">
        <v>0.66384900000000002</v>
      </c>
      <c r="K34">
        <v>0</v>
      </c>
      <c r="L34">
        <v>15.543900000000001</v>
      </c>
      <c r="M34">
        <v>14.467385999999999</v>
      </c>
      <c r="N34">
        <v>138.184</v>
      </c>
      <c r="O34">
        <v>0</v>
      </c>
      <c r="P34">
        <v>0</v>
      </c>
      <c r="Q34">
        <v>0</v>
      </c>
      <c r="R34">
        <v>0</v>
      </c>
      <c r="S34">
        <v>0</v>
      </c>
      <c r="T34">
        <v>3.8887999999999999E-2</v>
      </c>
    </row>
    <row r="35" spans="1:20" x14ac:dyDescent="0.25">
      <c r="A35" t="s">
        <v>58</v>
      </c>
      <c r="B35" t="s">
        <v>19</v>
      </c>
      <c r="C35" t="s">
        <v>59</v>
      </c>
      <c r="D35" t="s">
        <v>60</v>
      </c>
      <c r="E35" t="s">
        <v>61</v>
      </c>
      <c r="F35">
        <v>3.03</v>
      </c>
      <c r="G35">
        <v>66.3</v>
      </c>
      <c r="H35">
        <v>9.9199999999999997E-2</v>
      </c>
      <c r="I35">
        <v>776.16480000000001</v>
      </c>
      <c r="J35">
        <v>0</v>
      </c>
      <c r="K35">
        <v>0.11168</v>
      </c>
      <c r="L35">
        <v>61.408000000000001</v>
      </c>
      <c r="M35">
        <v>0</v>
      </c>
      <c r="N35">
        <v>166.42160000000001</v>
      </c>
      <c r="O35">
        <v>5.9333039999999997E-2</v>
      </c>
      <c r="P35">
        <v>0</v>
      </c>
      <c r="Q35">
        <v>0</v>
      </c>
      <c r="R35">
        <v>0</v>
      </c>
      <c r="S35">
        <v>39.881799999999998</v>
      </c>
      <c r="T35">
        <v>0.515266</v>
      </c>
    </row>
    <row r="36" spans="1:20" x14ac:dyDescent="0.25">
      <c r="A36" t="s">
        <v>62</v>
      </c>
      <c r="B36" t="s">
        <v>19</v>
      </c>
      <c r="C36" t="s">
        <v>59</v>
      </c>
      <c r="D36" t="s">
        <v>60</v>
      </c>
      <c r="E36" t="s">
        <v>61</v>
      </c>
      <c r="F36">
        <v>5.9</v>
      </c>
      <c r="G36">
        <v>70.7</v>
      </c>
      <c r="H36">
        <v>0.58879999999999999</v>
      </c>
      <c r="I36">
        <v>54.754199999999997</v>
      </c>
      <c r="J36">
        <v>0</v>
      </c>
      <c r="K36">
        <v>0.11168</v>
      </c>
      <c r="L36">
        <v>29.744499999999999</v>
      </c>
      <c r="M36">
        <v>0</v>
      </c>
      <c r="N36">
        <v>124.96639999999999</v>
      </c>
      <c r="O36">
        <v>0.17909787999999999</v>
      </c>
      <c r="P36">
        <v>0</v>
      </c>
      <c r="Q36">
        <v>0</v>
      </c>
      <c r="R36">
        <v>0</v>
      </c>
      <c r="S36">
        <v>71.918000000000006</v>
      </c>
      <c r="T36">
        <v>6.9512299999999998</v>
      </c>
    </row>
    <row r="37" spans="1:20" x14ac:dyDescent="0.25">
      <c r="A37" t="s">
        <v>63</v>
      </c>
      <c r="B37" t="s">
        <v>19</v>
      </c>
      <c r="C37" t="s">
        <v>59</v>
      </c>
      <c r="D37" t="s">
        <v>60</v>
      </c>
      <c r="E37" t="s">
        <v>64</v>
      </c>
      <c r="F37">
        <v>2.84</v>
      </c>
      <c r="G37">
        <v>71</v>
      </c>
      <c r="H37">
        <v>4.2111999999999998</v>
      </c>
      <c r="I37">
        <v>2641.65</v>
      </c>
      <c r="J37">
        <v>0.95247899999999996</v>
      </c>
      <c r="K37">
        <v>12.284800000000001</v>
      </c>
      <c r="L37">
        <v>4.9893999999999998</v>
      </c>
      <c r="M37">
        <v>59.092140000000001</v>
      </c>
      <c r="N37">
        <v>139.9864</v>
      </c>
      <c r="O37">
        <v>0.39994864000000002</v>
      </c>
      <c r="P37">
        <v>0</v>
      </c>
      <c r="Q37">
        <v>18.194953999999999</v>
      </c>
      <c r="R37">
        <v>0</v>
      </c>
      <c r="S37">
        <v>270.67320000000001</v>
      </c>
      <c r="T37">
        <v>14.19412</v>
      </c>
    </row>
    <row r="38" spans="1:20" x14ac:dyDescent="0.25">
      <c r="A38" t="s">
        <v>66</v>
      </c>
      <c r="B38" t="s">
        <v>19</v>
      </c>
      <c r="C38" t="s">
        <v>59</v>
      </c>
      <c r="D38" t="s">
        <v>60</v>
      </c>
      <c r="E38" t="s">
        <v>64</v>
      </c>
      <c r="F38">
        <v>4.95</v>
      </c>
      <c r="G38">
        <v>82.2</v>
      </c>
      <c r="H38">
        <v>0.37119999999999997</v>
      </c>
      <c r="I38">
        <v>2103.7139999999999</v>
      </c>
      <c r="J38">
        <v>0.22769700000000001</v>
      </c>
      <c r="K38">
        <v>3.9087999999999998</v>
      </c>
      <c r="L38">
        <v>0</v>
      </c>
      <c r="M38">
        <v>11.9712525</v>
      </c>
      <c r="N38">
        <v>199.46559999999999</v>
      </c>
      <c r="O38">
        <v>8.2406999999999994E-2</v>
      </c>
      <c r="P38">
        <v>0</v>
      </c>
      <c r="Q38">
        <v>10.095264800000001</v>
      </c>
      <c r="R38">
        <v>0</v>
      </c>
      <c r="S38">
        <v>101.9928</v>
      </c>
      <c r="T38">
        <v>3.2811750000000002</v>
      </c>
    </row>
    <row r="39" spans="1:20" x14ac:dyDescent="0.25">
      <c r="A39" t="s">
        <v>67</v>
      </c>
      <c r="B39" t="s">
        <v>19</v>
      </c>
      <c r="C39" t="s">
        <v>59</v>
      </c>
      <c r="D39" t="s">
        <v>60</v>
      </c>
      <c r="E39" t="s">
        <v>64</v>
      </c>
      <c r="F39">
        <v>2.81</v>
      </c>
      <c r="G39">
        <v>91.2</v>
      </c>
      <c r="H39">
        <v>9.5999999999999992E-3</v>
      </c>
      <c r="I39">
        <v>2526.3780000000002</v>
      </c>
      <c r="J39">
        <v>7.0554000000000006E-2</v>
      </c>
      <c r="K39">
        <v>10.0512</v>
      </c>
      <c r="L39">
        <v>4.9893999999999998</v>
      </c>
      <c r="M39">
        <v>72.846344999999999</v>
      </c>
      <c r="N39">
        <v>332.24239999999998</v>
      </c>
      <c r="O39">
        <v>0.44884346000000003</v>
      </c>
      <c r="P39">
        <v>0</v>
      </c>
      <c r="Q39">
        <v>7.1019014</v>
      </c>
      <c r="R39">
        <v>0</v>
      </c>
      <c r="S39">
        <v>246.48259999999999</v>
      </c>
      <c r="T39">
        <v>15.603809999999999</v>
      </c>
    </row>
    <row r="40" spans="1:20" x14ac:dyDescent="0.25">
      <c r="A40" t="s">
        <v>68</v>
      </c>
      <c r="B40" t="s">
        <v>19</v>
      </c>
      <c r="C40" t="s">
        <v>59</v>
      </c>
      <c r="D40" t="s">
        <v>60</v>
      </c>
      <c r="E40" t="s">
        <v>64</v>
      </c>
      <c r="F40">
        <v>6.53</v>
      </c>
      <c r="G40">
        <v>77.400000000000006</v>
      </c>
      <c r="H40">
        <v>7.0400000000000004E-2</v>
      </c>
      <c r="I40">
        <v>440.91539999999998</v>
      </c>
      <c r="J40">
        <v>1.2507299999999999</v>
      </c>
      <c r="K40">
        <v>1.1168000000000001E-2</v>
      </c>
      <c r="L40">
        <v>0</v>
      </c>
      <c r="M40">
        <v>0</v>
      </c>
      <c r="N40">
        <v>236.11439999999999</v>
      </c>
      <c r="O40">
        <v>0.31094907999999999</v>
      </c>
      <c r="P40">
        <v>0</v>
      </c>
      <c r="Q40">
        <v>0</v>
      </c>
      <c r="R40">
        <v>0</v>
      </c>
      <c r="S40">
        <v>9.1532</v>
      </c>
      <c r="T40">
        <v>15.798249999999999</v>
      </c>
    </row>
    <row r="41" spans="1:20" x14ac:dyDescent="0.25">
      <c r="A41" t="s">
        <v>69</v>
      </c>
      <c r="B41" t="s">
        <v>19</v>
      </c>
      <c r="C41" t="s">
        <v>59</v>
      </c>
      <c r="D41" t="s">
        <v>60</v>
      </c>
      <c r="E41" t="s">
        <v>64</v>
      </c>
      <c r="F41">
        <v>5.9</v>
      </c>
      <c r="G41">
        <v>82.6</v>
      </c>
      <c r="H41">
        <v>4.1599999999999998E-2</v>
      </c>
      <c r="I41">
        <v>1998.048</v>
      </c>
      <c r="J41">
        <v>0.33673500000000001</v>
      </c>
      <c r="K41">
        <v>1.50768E-2</v>
      </c>
      <c r="L41">
        <v>0</v>
      </c>
      <c r="M41">
        <v>16.810694999999999</v>
      </c>
      <c r="N41">
        <v>187.4496</v>
      </c>
      <c r="O41">
        <v>0.15190356999999999</v>
      </c>
      <c r="P41">
        <v>0</v>
      </c>
      <c r="Q41">
        <v>0</v>
      </c>
      <c r="R41">
        <v>4.6388579999999999</v>
      </c>
      <c r="S41">
        <v>56.880600000000001</v>
      </c>
      <c r="T41">
        <v>5.3471000000000002</v>
      </c>
    </row>
    <row r="42" spans="1:20" x14ac:dyDescent="0.25">
      <c r="A42" t="s">
        <v>70</v>
      </c>
      <c r="B42" t="s">
        <v>19</v>
      </c>
      <c r="C42" t="s">
        <v>59</v>
      </c>
      <c r="D42" t="s">
        <v>60</v>
      </c>
      <c r="E42" t="s">
        <v>64</v>
      </c>
      <c r="F42">
        <v>8</v>
      </c>
      <c r="G42">
        <v>74.099999999999994</v>
      </c>
      <c r="H42">
        <v>1.0207999999999999</v>
      </c>
      <c r="I42">
        <v>105.666</v>
      </c>
      <c r="J42">
        <v>1.2860069999999999</v>
      </c>
      <c r="K42">
        <v>0</v>
      </c>
      <c r="L42">
        <v>49.893999999999998</v>
      </c>
      <c r="M42">
        <v>0</v>
      </c>
      <c r="N42">
        <v>499.86559999999997</v>
      </c>
      <c r="O42">
        <v>1.9777679999999999E-2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x14ac:dyDescent="0.25">
      <c r="A43" t="s">
        <v>71</v>
      </c>
      <c r="B43" t="s">
        <v>19</v>
      </c>
      <c r="C43" t="s">
        <v>59</v>
      </c>
      <c r="D43" t="s">
        <v>60</v>
      </c>
      <c r="E43" t="s">
        <v>64</v>
      </c>
      <c r="F43">
        <v>6.3</v>
      </c>
      <c r="G43">
        <v>50.5</v>
      </c>
      <c r="H43">
        <v>9.92E-3</v>
      </c>
      <c r="I43">
        <v>244.953</v>
      </c>
      <c r="J43">
        <v>1.8055410000000001</v>
      </c>
      <c r="K43">
        <v>5.5840000000000001E-2</v>
      </c>
      <c r="L43">
        <v>0</v>
      </c>
      <c r="M43">
        <v>0</v>
      </c>
      <c r="N43">
        <v>189.8528</v>
      </c>
      <c r="O43">
        <v>0.38017096</v>
      </c>
      <c r="P43">
        <v>0</v>
      </c>
      <c r="Q43">
        <v>0</v>
      </c>
      <c r="R43">
        <v>0</v>
      </c>
      <c r="S43">
        <v>18.3064</v>
      </c>
      <c r="T43">
        <v>13.124700000000001</v>
      </c>
    </row>
    <row r="44" spans="1:20" x14ac:dyDescent="0.25">
      <c r="A44" t="s">
        <v>75</v>
      </c>
      <c r="B44" t="s">
        <v>19</v>
      </c>
      <c r="C44" t="s">
        <v>59</v>
      </c>
      <c r="D44" t="s">
        <v>60</v>
      </c>
      <c r="E44" t="s">
        <v>74</v>
      </c>
      <c r="F44">
        <v>1.29</v>
      </c>
      <c r="G44">
        <v>91.3</v>
      </c>
      <c r="H44">
        <v>2.5600000000000001E-2</v>
      </c>
      <c r="I44">
        <v>2228.5920000000001</v>
      </c>
      <c r="J44">
        <v>0</v>
      </c>
      <c r="K44">
        <v>8.3759999999999994</v>
      </c>
      <c r="L44">
        <v>2.6865999999999999</v>
      </c>
      <c r="M44">
        <v>14.7220935</v>
      </c>
      <c r="N44">
        <v>293.19040000000001</v>
      </c>
      <c r="O44">
        <v>8.5208837999999995E-2</v>
      </c>
      <c r="P44">
        <v>0</v>
      </c>
      <c r="Q44">
        <v>13.616868800000001</v>
      </c>
      <c r="R44">
        <v>1010.3814</v>
      </c>
      <c r="S44">
        <v>4868.1948000000002</v>
      </c>
      <c r="T44">
        <v>0.60762499999999997</v>
      </c>
    </row>
    <row r="45" spans="1:20" x14ac:dyDescent="0.25">
      <c r="A45" t="s">
        <v>85</v>
      </c>
      <c r="B45" t="s">
        <v>19</v>
      </c>
      <c r="C45" t="s">
        <v>59</v>
      </c>
      <c r="D45" t="s">
        <v>60</v>
      </c>
      <c r="E45" t="s">
        <v>74</v>
      </c>
      <c r="F45">
        <v>8.73</v>
      </c>
      <c r="G45">
        <v>77.2</v>
      </c>
      <c r="H45">
        <v>0.8256</v>
      </c>
      <c r="I45">
        <v>41.305799999999998</v>
      </c>
      <c r="J45">
        <v>0.173178</v>
      </c>
      <c r="K45">
        <v>0</v>
      </c>
      <c r="L45">
        <v>54.691499999999998</v>
      </c>
      <c r="M45">
        <v>0</v>
      </c>
      <c r="N45">
        <v>263.75119999999998</v>
      </c>
      <c r="O45">
        <v>0</v>
      </c>
      <c r="P45">
        <v>0</v>
      </c>
      <c r="Q45">
        <v>0</v>
      </c>
      <c r="R45">
        <v>0</v>
      </c>
      <c r="S45">
        <v>18.044879999999999</v>
      </c>
      <c r="T45">
        <v>0</v>
      </c>
    </row>
    <row r="46" spans="1:20" x14ac:dyDescent="0.25">
      <c r="A46" t="s">
        <v>86</v>
      </c>
      <c r="B46" t="s">
        <v>19</v>
      </c>
      <c r="C46" t="s">
        <v>59</v>
      </c>
      <c r="D46" t="s">
        <v>60</v>
      </c>
      <c r="E46" t="s">
        <v>74</v>
      </c>
      <c r="F46">
        <v>6.62</v>
      </c>
      <c r="G46">
        <v>88.6</v>
      </c>
      <c r="H46">
        <v>0.1152</v>
      </c>
      <c r="I46">
        <v>36.502800000000001</v>
      </c>
      <c r="J46">
        <v>0</v>
      </c>
      <c r="K46">
        <v>0</v>
      </c>
      <c r="L46">
        <v>122.816</v>
      </c>
      <c r="M46">
        <v>0</v>
      </c>
      <c r="N46">
        <v>72.696799999999996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x14ac:dyDescent="0.25">
      <c r="A47" t="s">
        <v>87</v>
      </c>
      <c r="B47" t="s">
        <v>19</v>
      </c>
      <c r="C47" t="s">
        <v>59</v>
      </c>
      <c r="D47" t="s">
        <v>60</v>
      </c>
      <c r="E47" t="s">
        <v>74</v>
      </c>
      <c r="F47">
        <v>7.78</v>
      </c>
      <c r="G47">
        <v>92.4</v>
      </c>
      <c r="H47">
        <v>9.5999999999999992E-3</v>
      </c>
      <c r="I47">
        <v>18.2514</v>
      </c>
      <c r="J47">
        <v>0.115452</v>
      </c>
      <c r="K47">
        <v>0</v>
      </c>
      <c r="L47">
        <v>26.38625</v>
      </c>
      <c r="M47">
        <v>0</v>
      </c>
      <c r="N47">
        <v>339.452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25">
      <c r="A48" t="s">
        <v>88</v>
      </c>
      <c r="B48" t="s">
        <v>19</v>
      </c>
      <c r="C48" t="s">
        <v>59</v>
      </c>
      <c r="D48" t="s">
        <v>60</v>
      </c>
      <c r="E48" t="s">
        <v>74</v>
      </c>
      <c r="F48">
        <v>6.02</v>
      </c>
      <c r="G48">
        <v>77.3</v>
      </c>
      <c r="H48">
        <v>0.16320000000000001</v>
      </c>
      <c r="I48">
        <v>145.0506</v>
      </c>
      <c r="J48">
        <v>3.5277000000000003E-2</v>
      </c>
      <c r="K48">
        <v>0</v>
      </c>
      <c r="L48">
        <v>79.638499999999993</v>
      </c>
      <c r="M48">
        <v>0</v>
      </c>
      <c r="N48">
        <v>222.89680000000001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 x14ac:dyDescent="0.25">
      <c r="A49" t="s">
        <v>89</v>
      </c>
      <c r="B49" t="s">
        <v>19</v>
      </c>
      <c r="C49" t="s">
        <v>59</v>
      </c>
      <c r="D49" t="s">
        <v>60</v>
      </c>
      <c r="E49" t="s">
        <v>74</v>
      </c>
      <c r="F49">
        <v>6.61</v>
      </c>
      <c r="G49">
        <v>73.7</v>
      </c>
      <c r="H49">
        <v>0.84160000000000001</v>
      </c>
      <c r="I49">
        <v>91.257000000000005</v>
      </c>
      <c r="J49">
        <v>9.6209999999999993E-3</v>
      </c>
      <c r="K49">
        <v>0</v>
      </c>
      <c r="L49">
        <v>109.383</v>
      </c>
      <c r="M49">
        <v>0</v>
      </c>
      <c r="N49">
        <v>173.63120000000001</v>
      </c>
      <c r="O49">
        <v>0</v>
      </c>
      <c r="P49">
        <v>0</v>
      </c>
      <c r="Q49">
        <v>0</v>
      </c>
      <c r="R49">
        <v>0</v>
      </c>
      <c r="S49">
        <v>97.416200000000003</v>
      </c>
      <c r="T49">
        <v>0</v>
      </c>
    </row>
    <row r="50" spans="1:20" x14ac:dyDescent="0.25">
      <c r="A50" t="s">
        <v>90</v>
      </c>
      <c r="B50" t="s">
        <v>19</v>
      </c>
      <c r="C50" t="s">
        <v>59</v>
      </c>
      <c r="D50" t="s">
        <v>60</v>
      </c>
      <c r="E50" t="s">
        <v>74</v>
      </c>
      <c r="F50">
        <v>8.41</v>
      </c>
      <c r="G50">
        <v>90.5</v>
      </c>
      <c r="H50">
        <v>2.5600000000000001E-2</v>
      </c>
      <c r="I50">
        <v>20.364719999999998</v>
      </c>
      <c r="J50">
        <v>1.096794</v>
      </c>
      <c r="K50">
        <v>0</v>
      </c>
      <c r="L50">
        <v>42.218000000000004</v>
      </c>
      <c r="M50">
        <v>0</v>
      </c>
      <c r="N50">
        <v>210.28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 x14ac:dyDescent="0.25">
      <c r="A51" t="s">
        <v>91</v>
      </c>
      <c r="B51" t="s">
        <v>19</v>
      </c>
      <c r="C51" t="s">
        <v>59</v>
      </c>
      <c r="D51" t="s">
        <v>60</v>
      </c>
      <c r="E51" t="s">
        <v>74</v>
      </c>
      <c r="F51">
        <v>6.26</v>
      </c>
      <c r="G51">
        <v>80.599999999999994</v>
      </c>
      <c r="H51">
        <v>1.4080000000000001E-2</v>
      </c>
      <c r="I51">
        <v>104.7054</v>
      </c>
      <c r="J51">
        <v>0.16034999999999999</v>
      </c>
      <c r="K51">
        <v>0</v>
      </c>
      <c r="L51">
        <v>40.298999999999999</v>
      </c>
      <c r="M51">
        <v>0</v>
      </c>
      <c r="N51">
        <v>221.09440000000001</v>
      </c>
      <c r="O51">
        <v>0</v>
      </c>
      <c r="P51">
        <v>0</v>
      </c>
      <c r="Q51">
        <v>0</v>
      </c>
      <c r="R51">
        <v>0</v>
      </c>
      <c r="S51">
        <v>0</v>
      </c>
      <c r="T51">
        <v>5.7602849999999997E-2</v>
      </c>
    </row>
    <row r="52" spans="1:20" x14ac:dyDescent="0.25">
      <c r="A52" t="s">
        <v>92</v>
      </c>
      <c r="B52" t="s">
        <v>19</v>
      </c>
      <c r="C52" t="s">
        <v>59</v>
      </c>
      <c r="D52" t="s">
        <v>60</v>
      </c>
      <c r="E52" t="s">
        <v>74</v>
      </c>
      <c r="F52">
        <v>6.79</v>
      </c>
      <c r="G52">
        <v>83.1</v>
      </c>
      <c r="H52">
        <v>0.45119999999999999</v>
      </c>
      <c r="I52">
        <v>97.020600000000002</v>
      </c>
      <c r="J52">
        <v>0.22449</v>
      </c>
      <c r="K52">
        <v>1.22848E-2</v>
      </c>
      <c r="L52">
        <v>4.4137000000000004</v>
      </c>
      <c r="M52">
        <v>0</v>
      </c>
      <c r="N52">
        <v>150.80080000000001</v>
      </c>
      <c r="O52">
        <v>1.1262289999999999E-2</v>
      </c>
      <c r="P52">
        <v>0</v>
      </c>
      <c r="Q52">
        <v>0</v>
      </c>
      <c r="R52">
        <v>0</v>
      </c>
      <c r="S52">
        <v>17.129560000000001</v>
      </c>
      <c r="T52">
        <v>0</v>
      </c>
    </row>
    <row r="53" spans="1:20" x14ac:dyDescent="0.25">
      <c r="A53" t="s">
        <v>93</v>
      </c>
      <c r="B53" t="s">
        <v>19</v>
      </c>
      <c r="C53" t="s">
        <v>59</v>
      </c>
      <c r="D53" t="s">
        <v>60</v>
      </c>
      <c r="E53" t="s">
        <v>74</v>
      </c>
      <c r="F53">
        <v>6.08</v>
      </c>
      <c r="G53">
        <v>85.8</v>
      </c>
      <c r="H53">
        <v>1.2800000000000001E-2</v>
      </c>
      <c r="I53">
        <v>163.30199999999999</v>
      </c>
      <c r="J53">
        <v>0.25656000000000001</v>
      </c>
      <c r="K53">
        <v>0</v>
      </c>
      <c r="L53">
        <v>52.772500000000001</v>
      </c>
      <c r="M53">
        <v>0</v>
      </c>
      <c r="N53">
        <v>201.268</v>
      </c>
      <c r="O53">
        <v>1.9997431999999999E-2</v>
      </c>
      <c r="P53">
        <v>0</v>
      </c>
      <c r="Q53">
        <v>0</v>
      </c>
      <c r="R53">
        <v>0</v>
      </c>
      <c r="S53">
        <v>771.48400000000004</v>
      </c>
      <c r="T53">
        <v>0</v>
      </c>
    </row>
    <row r="54" spans="1:20" x14ac:dyDescent="0.25">
      <c r="A54" t="s">
        <v>94</v>
      </c>
      <c r="B54" t="s">
        <v>19</v>
      </c>
      <c r="C54" t="s">
        <v>59</v>
      </c>
      <c r="D54" t="s">
        <v>60</v>
      </c>
      <c r="E54" t="s">
        <v>74</v>
      </c>
      <c r="F54">
        <v>6.18</v>
      </c>
      <c r="G54">
        <v>83.2</v>
      </c>
      <c r="H54">
        <v>0.38080000000000003</v>
      </c>
      <c r="I54">
        <v>91.257000000000005</v>
      </c>
      <c r="J54">
        <v>0.33673500000000001</v>
      </c>
      <c r="K54">
        <v>0</v>
      </c>
      <c r="L54">
        <v>47.975000000000001</v>
      </c>
      <c r="M54">
        <v>0</v>
      </c>
      <c r="N54">
        <v>281.17439999999999</v>
      </c>
      <c r="O54">
        <v>9.1966212000000006E-2</v>
      </c>
      <c r="P54">
        <v>0</v>
      </c>
      <c r="Q54">
        <v>0</v>
      </c>
      <c r="R54">
        <v>0</v>
      </c>
      <c r="S54">
        <v>0</v>
      </c>
      <c r="T54">
        <v>0.18228749999999999</v>
      </c>
    </row>
    <row r="55" spans="1:20" x14ac:dyDescent="0.25">
      <c r="A55" t="s">
        <v>95</v>
      </c>
      <c r="B55" t="s">
        <v>19</v>
      </c>
      <c r="C55" t="s">
        <v>59</v>
      </c>
      <c r="D55" t="s">
        <v>60</v>
      </c>
      <c r="E55" t="s">
        <v>74</v>
      </c>
      <c r="F55">
        <v>6.83</v>
      </c>
      <c r="G55">
        <v>74.8</v>
      </c>
      <c r="H55">
        <v>9.5999999999999992E-3</v>
      </c>
      <c r="I55">
        <v>215.17439999999999</v>
      </c>
      <c r="J55">
        <v>0</v>
      </c>
      <c r="K55">
        <v>3.9087999999999996E-3</v>
      </c>
      <c r="L55">
        <v>0</v>
      </c>
      <c r="M55">
        <v>0</v>
      </c>
      <c r="N55">
        <v>88.918400000000005</v>
      </c>
      <c r="O55">
        <v>0.55827995600000002</v>
      </c>
      <c r="P55">
        <v>0</v>
      </c>
      <c r="Q55">
        <v>0</v>
      </c>
      <c r="R55">
        <v>2.0970179999999998</v>
      </c>
      <c r="S55">
        <v>5.5572999999999997</v>
      </c>
      <c r="T55">
        <v>0.75345499999999999</v>
      </c>
    </row>
    <row r="56" spans="1:20" x14ac:dyDescent="0.25">
      <c r="A56" t="s">
        <v>96</v>
      </c>
      <c r="B56" t="s">
        <v>19</v>
      </c>
      <c r="C56" t="s">
        <v>59</v>
      </c>
      <c r="D56" t="s">
        <v>60</v>
      </c>
      <c r="E56" t="s">
        <v>74</v>
      </c>
      <c r="F56">
        <v>8.42</v>
      </c>
      <c r="G56">
        <v>69.8</v>
      </c>
      <c r="H56">
        <v>1.9199999999999998E-2</v>
      </c>
      <c r="I56">
        <v>114.31140000000001</v>
      </c>
      <c r="J56">
        <v>1.3918379999999999</v>
      </c>
      <c r="K56">
        <v>0</v>
      </c>
      <c r="L56">
        <v>81.557500000000005</v>
      </c>
      <c r="M56">
        <v>0</v>
      </c>
      <c r="N56">
        <v>265.55360000000002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 x14ac:dyDescent="0.25">
      <c r="A57" t="s">
        <v>97</v>
      </c>
      <c r="B57" t="s">
        <v>19</v>
      </c>
      <c r="C57" t="s">
        <v>59</v>
      </c>
      <c r="D57" t="s">
        <v>60</v>
      </c>
      <c r="E57" t="s">
        <v>74</v>
      </c>
      <c r="F57">
        <v>7.16</v>
      </c>
      <c r="G57">
        <v>79.400000000000006</v>
      </c>
      <c r="H57">
        <v>1.0144</v>
      </c>
      <c r="I57">
        <v>9.6059999999999999</v>
      </c>
      <c r="J57">
        <v>6.4140000000000004E-3</v>
      </c>
      <c r="K57">
        <v>0</v>
      </c>
      <c r="L57">
        <v>14.104649999999999</v>
      </c>
      <c r="M57">
        <v>0</v>
      </c>
      <c r="N57">
        <v>317.22239999999999</v>
      </c>
      <c r="O57">
        <v>2.8018380000000001E-3</v>
      </c>
      <c r="P57">
        <v>0</v>
      </c>
      <c r="Q57">
        <v>0</v>
      </c>
      <c r="R57">
        <v>0</v>
      </c>
      <c r="S57">
        <v>23.536799999999999</v>
      </c>
      <c r="T57">
        <v>0</v>
      </c>
    </row>
    <row r="58" spans="1:20" x14ac:dyDescent="0.25">
      <c r="A58" t="s">
        <v>98</v>
      </c>
      <c r="B58" t="s">
        <v>19</v>
      </c>
      <c r="C58" t="s">
        <v>59</v>
      </c>
      <c r="D58" t="s">
        <v>60</v>
      </c>
      <c r="E58" t="s">
        <v>74</v>
      </c>
      <c r="F58">
        <v>8.58</v>
      </c>
      <c r="G58">
        <v>92.8</v>
      </c>
      <c r="H58">
        <v>1.6E-2</v>
      </c>
      <c r="I58">
        <v>17.194739999999999</v>
      </c>
      <c r="J58">
        <v>0.54518999999999995</v>
      </c>
      <c r="K58">
        <v>0</v>
      </c>
      <c r="L58">
        <v>27.345749999999999</v>
      </c>
      <c r="M58">
        <v>0</v>
      </c>
      <c r="N58">
        <v>389.3184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 x14ac:dyDescent="0.25">
      <c r="A59" t="s">
        <v>99</v>
      </c>
      <c r="B59" t="s">
        <v>19</v>
      </c>
      <c r="C59" t="s">
        <v>59</v>
      </c>
      <c r="D59" t="s">
        <v>60</v>
      </c>
      <c r="E59" t="s">
        <v>74</v>
      </c>
      <c r="F59">
        <v>2.12</v>
      </c>
      <c r="G59">
        <v>81.900000000000006</v>
      </c>
      <c r="H59">
        <v>8.6400000000000005E-2</v>
      </c>
      <c r="I59">
        <v>1729.08</v>
      </c>
      <c r="J59">
        <v>4.4898E-2</v>
      </c>
      <c r="K59">
        <v>1.1168</v>
      </c>
      <c r="L59">
        <v>11.226150000000001</v>
      </c>
      <c r="M59">
        <v>2.8017824999999998</v>
      </c>
      <c r="N59">
        <v>147.79679999999999</v>
      </c>
      <c r="O59">
        <v>2.362334E-2</v>
      </c>
      <c r="P59">
        <v>0</v>
      </c>
      <c r="Q59">
        <v>0</v>
      </c>
      <c r="R59">
        <v>0</v>
      </c>
      <c r="S59">
        <v>103.9542</v>
      </c>
      <c r="T59">
        <v>7.5831599999999999E-2</v>
      </c>
    </row>
    <row r="60" spans="1:20" x14ac:dyDescent="0.25">
      <c r="A60" t="s">
        <v>100</v>
      </c>
      <c r="B60" t="s">
        <v>19</v>
      </c>
      <c r="C60" t="s">
        <v>59</v>
      </c>
      <c r="D60" t="s">
        <v>60</v>
      </c>
      <c r="E60" t="s">
        <v>74</v>
      </c>
      <c r="F60">
        <v>7.24</v>
      </c>
      <c r="G60">
        <v>85.3</v>
      </c>
      <c r="H60">
        <v>0.16</v>
      </c>
      <c r="I60">
        <v>214.21379999999999</v>
      </c>
      <c r="J60">
        <v>6.4140000000000004E-3</v>
      </c>
      <c r="K60">
        <v>0</v>
      </c>
      <c r="L60">
        <v>39.339500000000001</v>
      </c>
      <c r="M60">
        <v>0</v>
      </c>
      <c r="N60">
        <v>195.86080000000001</v>
      </c>
      <c r="O60">
        <v>0</v>
      </c>
      <c r="P60">
        <v>0</v>
      </c>
      <c r="Q60">
        <v>0</v>
      </c>
      <c r="R60">
        <v>0</v>
      </c>
      <c r="S60">
        <v>18.044879999999999</v>
      </c>
      <c r="T60">
        <v>0</v>
      </c>
    </row>
    <row r="61" spans="1:20" x14ac:dyDescent="0.25">
      <c r="A61" t="s">
        <v>101</v>
      </c>
      <c r="B61" t="s">
        <v>19</v>
      </c>
      <c r="C61" t="s">
        <v>59</v>
      </c>
      <c r="D61" t="s">
        <v>60</v>
      </c>
      <c r="E61" t="s">
        <v>74</v>
      </c>
      <c r="F61">
        <v>4</v>
      </c>
      <c r="G61">
        <v>76.099999999999994</v>
      </c>
      <c r="H61">
        <v>0.4</v>
      </c>
      <c r="I61">
        <v>186.35640000000001</v>
      </c>
      <c r="J61">
        <v>1.6035000000000001E-2</v>
      </c>
      <c r="K61">
        <v>6.1423999999999999E-2</v>
      </c>
      <c r="L61">
        <v>0</v>
      </c>
      <c r="M61">
        <v>0</v>
      </c>
      <c r="N61">
        <v>219.292</v>
      </c>
      <c r="O61">
        <v>6.7079297999999996E-2</v>
      </c>
      <c r="P61">
        <v>0</v>
      </c>
      <c r="Q61">
        <v>0</v>
      </c>
      <c r="R61">
        <v>0</v>
      </c>
      <c r="S61">
        <v>47.727400000000003</v>
      </c>
      <c r="T61">
        <v>0.1920095</v>
      </c>
    </row>
    <row r="62" spans="1:20" x14ac:dyDescent="0.25">
      <c r="A62" t="s">
        <v>102</v>
      </c>
      <c r="B62" t="s">
        <v>19</v>
      </c>
      <c r="C62" t="s">
        <v>59</v>
      </c>
      <c r="D62" t="s">
        <v>60</v>
      </c>
      <c r="E62" t="s">
        <v>74</v>
      </c>
      <c r="F62">
        <v>8.8000000000000007</v>
      </c>
      <c r="G62">
        <v>80.599999999999994</v>
      </c>
      <c r="H62">
        <v>1.1519999999999999</v>
      </c>
      <c r="I62">
        <v>27.857399999999998</v>
      </c>
      <c r="J62">
        <v>1.2828000000000001E-2</v>
      </c>
      <c r="K62">
        <v>0</v>
      </c>
      <c r="L62">
        <v>26.19435</v>
      </c>
      <c r="M62">
        <v>0</v>
      </c>
      <c r="N62">
        <v>245.72720000000001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 x14ac:dyDescent="0.25">
      <c r="A63" t="s">
        <v>103</v>
      </c>
      <c r="B63" t="s">
        <v>19</v>
      </c>
      <c r="C63" t="s">
        <v>59</v>
      </c>
      <c r="D63" t="s">
        <v>60</v>
      </c>
      <c r="E63" t="s">
        <v>74</v>
      </c>
      <c r="F63">
        <v>3.42</v>
      </c>
      <c r="G63">
        <v>82.9</v>
      </c>
      <c r="H63">
        <v>0.15359999999999999</v>
      </c>
      <c r="I63">
        <v>401.5308</v>
      </c>
      <c r="J63">
        <v>7.3760999999999993E-2</v>
      </c>
      <c r="K63">
        <v>0.25128</v>
      </c>
      <c r="L63">
        <v>5.2772500000000004</v>
      </c>
      <c r="M63">
        <v>0</v>
      </c>
      <c r="N63">
        <v>156.208</v>
      </c>
      <c r="O63">
        <v>2.6315301999999999E-2</v>
      </c>
      <c r="P63">
        <v>0</v>
      </c>
      <c r="Q63">
        <v>0</v>
      </c>
      <c r="R63">
        <v>0</v>
      </c>
      <c r="S63">
        <v>511.92540000000002</v>
      </c>
      <c r="T63">
        <v>0.1288165</v>
      </c>
    </row>
    <row r="64" spans="1:20" x14ac:dyDescent="0.25">
      <c r="A64" t="s">
        <v>104</v>
      </c>
      <c r="B64" t="s">
        <v>19</v>
      </c>
      <c r="C64" t="s">
        <v>59</v>
      </c>
      <c r="D64" t="s">
        <v>60</v>
      </c>
      <c r="E64" t="s">
        <v>74</v>
      </c>
      <c r="F64">
        <v>1.96</v>
      </c>
      <c r="G64">
        <v>84.3</v>
      </c>
      <c r="H64">
        <v>0.38719999999999999</v>
      </c>
      <c r="I64">
        <v>1690.6559999999999</v>
      </c>
      <c r="J64">
        <v>2.2449E-2</v>
      </c>
      <c r="K64">
        <v>0.89344000000000001</v>
      </c>
      <c r="L64">
        <v>0</v>
      </c>
      <c r="M64">
        <v>0</v>
      </c>
      <c r="N64">
        <v>227.10239999999999</v>
      </c>
      <c r="O64">
        <v>2.9611582000000001E-2</v>
      </c>
      <c r="P64">
        <v>0</v>
      </c>
      <c r="Q64">
        <v>0</v>
      </c>
      <c r="R64">
        <v>0</v>
      </c>
      <c r="S64">
        <v>307.93979999999999</v>
      </c>
      <c r="T64">
        <v>0.27707700000000002</v>
      </c>
    </row>
    <row r="65" spans="1:20" x14ac:dyDescent="0.25">
      <c r="A65" t="s">
        <v>105</v>
      </c>
      <c r="B65" t="s">
        <v>19</v>
      </c>
      <c r="C65" t="s">
        <v>59</v>
      </c>
      <c r="D65" t="s">
        <v>60</v>
      </c>
      <c r="E65" t="s">
        <v>74</v>
      </c>
      <c r="F65">
        <v>8.99</v>
      </c>
      <c r="G65">
        <v>86.9</v>
      </c>
      <c r="H65">
        <v>0.33279999999999998</v>
      </c>
      <c r="I65">
        <v>17.00262</v>
      </c>
      <c r="J65">
        <v>0.59650199999999998</v>
      </c>
      <c r="K65">
        <v>0</v>
      </c>
      <c r="L65">
        <v>28.976900000000001</v>
      </c>
      <c r="M65">
        <v>0</v>
      </c>
      <c r="N65">
        <v>267.35599999999999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 x14ac:dyDescent="0.25">
      <c r="A66" t="s">
        <v>106</v>
      </c>
      <c r="B66" t="s">
        <v>19</v>
      </c>
      <c r="C66" t="s">
        <v>59</v>
      </c>
      <c r="D66" t="s">
        <v>60</v>
      </c>
      <c r="E66" t="s">
        <v>74</v>
      </c>
      <c r="F66">
        <v>5.22</v>
      </c>
      <c r="G66">
        <v>67</v>
      </c>
      <c r="H66">
        <v>0.70079999999999998</v>
      </c>
      <c r="I66">
        <v>145.0506</v>
      </c>
      <c r="J66">
        <v>9.6209999999999993E-3</v>
      </c>
      <c r="K66">
        <v>0.17310400000000001</v>
      </c>
      <c r="L66">
        <v>25.5227</v>
      </c>
      <c r="M66">
        <v>0</v>
      </c>
      <c r="N66">
        <v>201.86879999999999</v>
      </c>
      <c r="O66">
        <v>6.8727438000000002E-2</v>
      </c>
      <c r="P66">
        <v>0</v>
      </c>
      <c r="Q66">
        <v>0</v>
      </c>
      <c r="R66">
        <v>0</v>
      </c>
      <c r="S66">
        <v>13.66442</v>
      </c>
      <c r="T66">
        <v>0.1968705</v>
      </c>
    </row>
    <row r="67" spans="1:20" x14ac:dyDescent="0.25">
      <c r="A67" t="s">
        <v>164</v>
      </c>
      <c r="B67" t="s">
        <v>19</v>
      </c>
      <c r="C67" t="s">
        <v>59</v>
      </c>
      <c r="D67" t="s">
        <v>60</v>
      </c>
      <c r="E67" t="s">
        <v>165</v>
      </c>
      <c r="F67">
        <v>2.41</v>
      </c>
      <c r="G67">
        <v>85</v>
      </c>
      <c r="H67">
        <v>0.22720000000000001</v>
      </c>
      <c r="I67">
        <v>894.31859999999995</v>
      </c>
      <c r="J67">
        <v>6.7347000000000004E-2</v>
      </c>
      <c r="K67">
        <v>5.0255999999999998</v>
      </c>
      <c r="L67">
        <v>0</v>
      </c>
      <c r="M67">
        <v>0</v>
      </c>
      <c r="N67">
        <v>178.4376</v>
      </c>
      <c r="O67">
        <v>4.7026928000000003E-2</v>
      </c>
      <c r="P67">
        <v>0</v>
      </c>
      <c r="Q67">
        <v>6.8084344000000003</v>
      </c>
      <c r="R67">
        <v>0</v>
      </c>
      <c r="S67">
        <v>86.955399999999997</v>
      </c>
      <c r="T67">
        <v>0.384019</v>
      </c>
    </row>
    <row r="68" spans="1:20" x14ac:dyDescent="0.25">
      <c r="A68" t="s">
        <v>166</v>
      </c>
      <c r="B68" t="s">
        <v>19</v>
      </c>
      <c r="C68" t="s">
        <v>59</v>
      </c>
      <c r="D68" t="s">
        <v>60</v>
      </c>
      <c r="E68" t="s">
        <v>165</v>
      </c>
      <c r="F68">
        <v>7.6</v>
      </c>
      <c r="G68">
        <v>71.7</v>
      </c>
      <c r="H68">
        <v>0.35199999999999998</v>
      </c>
      <c r="I68">
        <v>149.8536</v>
      </c>
      <c r="J68">
        <v>0.32711400000000002</v>
      </c>
      <c r="K68">
        <v>0</v>
      </c>
      <c r="L68">
        <v>10.554500000000001</v>
      </c>
      <c r="M68">
        <v>0</v>
      </c>
      <c r="N68">
        <v>255.9408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 spans="1:20" x14ac:dyDescent="0.25">
      <c r="A69" t="s">
        <v>167</v>
      </c>
      <c r="B69" t="s">
        <v>19</v>
      </c>
      <c r="C69" t="s">
        <v>59</v>
      </c>
      <c r="D69" t="s">
        <v>60</v>
      </c>
      <c r="E69" t="s">
        <v>165</v>
      </c>
      <c r="F69">
        <v>7.5</v>
      </c>
      <c r="G69">
        <v>74.8</v>
      </c>
      <c r="H69">
        <v>1.1424000000000001</v>
      </c>
      <c r="I69">
        <v>121.9962</v>
      </c>
      <c r="J69">
        <v>0</v>
      </c>
      <c r="K69">
        <v>0</v>
      </c>
      <c r="L69">
        <v>0</v>
      </c>
      <c r="M69">
        <v>0</v>
      </c>
      <c r="N69">
        <v>150.19999999999999</v>
      </c>
      <c r="O69">
        <v>6.0981180000000003E-2</v>
      </c>
      <c r="P69">
        <v>0</v>
      </c>
      <c r="Q69">
        <v>0</v>
      </c>
      <c r="R69">
        <v>7.2442440000000001</v>
      </c>
      <c r="S69">
        <v>18.044879999999999</v>
      </c>
      <c r="T69">
        <v>0</v>
      </c>
    </row>
    <row r="70" spans="1:20" x14ac:dyDescent="0.25">
      <c r="A70" t="s">
        <v>168</v>
      </c>
      <c r="B70" t="s">
        <v>19</v>
      </c>
      <c r="C70" t="s">
        <v>59</v>
      </c>
      <c r="D70" t="s">
        <v>60</v>
      </c>
      <c r="E70" t="s">
        <v>165</v>
      </c>
      <c r="F70">
        <v>5.0199999999999996</v>
      </c>
      <c r="G70">
        <v>70</v>
      </c>
      <c r="H70">
        <v>4.8000000000000001E-2</v>
      </c>
      <c r="I70">
        <v>81.650999999999996</v>
      </c>
      <c r="J70">
        <v>3.9285749999999999</v>
      </c>
      <c r="K70">
        <v>0.16752</v>
      </c>
      <c r="L70">
        <v>4.9893999999999998</v>
      </c>
      <c r="M70">
        <v>0</v>
      </c>
      <c r="N70">
        <v>114.75279999999999</v>
      </c>
      <c r="O70">
        <v>7.5814439999999997E-2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 x14ac:dyDescent="0.25">
      <c r="A71" t="s">
        <v>169</v>
      </c>
      <c r="B71" t="s">
        <v>19</v>
      </c>
      <c r="C71" t="s">
        <v>59</v>
      </c>
      <c r="D71" t="s">
        <v>60</v>
      </c>
      <c r="E71" t="s">
        <v>165</v>
      </c>
      <c r="F71">
        <v>2.89</v>
      </c>
      <c r="G71">
        <v>82.7</v>
      </c>
      <c r="H71">
        <v>0.24959999999999999</v>
      </c>
      <c r="I71">
        <v>652.24739999999997</v>
      </c>
      <c r="J71">
        <v>1.2828000000000001E-2</v>
      </c>
      <c r="K71">
        <v>0</v>
      </c>
      <c r="L71">
        <v>10.07475</v>
      </c>
      <c r="M71">
        <v>0</v>
      </c>
      <c r="N71">
        <v>284.7792</v>
      </c>
      <c r="O71">
        <v>0</v>
      </c>
      <c r="P71">
        <v>0</v>
      </c>
      <c r="Q71">
        <v>0</v>
      </c>
      <c r="R71">
        <v>0</v>
      </c>
      <c r="S71">
        <v>129.45240000000001</v>
      </c>
      <c r="T71">
        <v>0</v>
      </c>
    </row>
    <row r="72" spans="1:20" x14ac:dyDescent="0.25">
      <c r="A72" t="s">
        <v>170</v>
      </c>
      <c r="B72" t="s">
        <v>19</v>
      </c>
      <c r="C72" t="s">
        <v>59</v>
      </c>
      <c r="D72" t="s">
        <v>60</v>
      </c>
      <c r="E72" t="s">
        <v>165</v>
      </c>
      <c r="F72">
        <v>2.8</v>
      </c>
      <c r="G72">
        <v>77.2</v>
      </c>
      <c r="H72">
        <v>0.08</v>
      </c>
      <c r="I72">
        <v>441.87599999999998</v>
      </c>
      <c r="J72">
        <v>0.25656000000000001</v>
      </c>
      <c r="K72">
        <v>1.34016</v>
      </c>
      <c r="L72">
        <v>0</v>
      </c>
      <c r="M72">
        <v>0</v>
      </c>
      <c r="N72">
        <v>302.20240000000001</v>
      </c>
      <c r="O72">
        <v>6.5925599999999999E-3</v>
      </c>
      <c r="P72">
        <v>0</v>
      </c>
      <c r="Q72">
        <v>0</v>
      </c>
      <c r="R72">
        <v>0</v>
      </c>
      <c r="S72">
        <v>207.25460000000001</v>
      </c>
      <c r="T72">
        <v>0</v>
      </c>
    </row>
    <row r="73" spans="1:20" x14ac:dyDescent="0.25">
      <c r="A73" t="s">
        <v>171</v>
      </c>
      <c r="B73" t="s">
        <v>19</v>
      </c>
      <c r="C73" t="s">
        <v>59</v>
      </c>
      <c r="D73" t="s">
        <v>60</v>
      </c>
      <c r="E73" t="s">
        <v>165</v>
      </c>
      <c r="F73">
        <v>2.93</v>
      </c>
      <c r="G73">
        <v>78.8</v>
      </c>
      <c r="H73">
        <v>0.78080000000000005</v>
      </c>
      <c r="I73">
        <v>411.13679999999999</v>
      </c>
      <c r="J73">
        <v>1.8728880000000001</v>
      </c>
      <c r="K73">
        <v>1.6752</v>
      </c>
      <c r="L73">
        <v>0</v>
      </c>
      <c r="M73">
        <v>0</v>
      </c>
      <c r="N73">
        <v>307.6096</v>
      </c>
      <c r="O73">
        <v>9.3394599999999994E-2</v>
      </c>
      <c r="P73">
        <v>0</v>
      </c>
      <c r="Q73">
        <v>0</v>
      </c>
      <c r="R73">
        <v>0</v>
      </c>
      <c r="S73">
        <v>84.994</v>
      </c>
      <c r="T73">
        <v>0</v>
      </c>
    </row>
    <row r="74" spans="1:20" x14ac:dyDescent="0.25">
      <c r="A74" t="s">
        <v>172</v>
      </c>
      <c r="B74" t="s">
        <v>19</v>
      </c>
      <c r="C74" t="s">
        <v>59</v>
      </c>
      <c r="D74" t="s">
        <v>60</v>
      </c>
      <c r="E74" t="s">
        <v>165</v>
      </c>
      <c r="F74">
        <v>2.2999999999999998</v>
      </c>
      <c r="G74">
        <v>76.900000000000006</v>
      </c>
      <c r="H74">
        <v>0.60160000000000002</v>
      </c>
      <c r="I74">
        <v>1873.17</v>
      </c>
      <c r="J74">
        <v>0.214869</v>
      </c>
      <c r="K74">
        <v>5.5839999999999996</v>
      </c>
      <c r="L74">
        <v>4.9893999999999998</v>
      </c>
      <c r="M74">
        <v>0</v>
      </c>
      <c r="N74">
        <v>264.35199999999998</v>
      </c>
      <c r="O74">
        <v>6.8672499999999997E-2</v>
      </c>
      <c r="P74">
        <v>0</v>
      </c>
      <c r="Q74">
        <v>0</v>
      </c>
      <c r="R74">
        <v>0</v>
      </c>
      <c r="S74">
        <v>138.60560000000001</v>
      </c>
      <c r="T74">
        <v>0.32811750000000001</v>
      </c>
    </row>
    <row r="75" spans="1:20" x14ac:dyDescent="0.25">
      <c r="A75" t="s">
        <v>173</v>
      </c>
      <c r="B75" t="s">
        <v>19</v>
      </c>
      <c r="C75" t="s">
        <v>59</v>
      </c>
      <c r="D75" t="s">
        <v>60</v>
      </c>
      <c r="E75" t="s">
        <v>165</v>
      </c>
      <c r="F75">
        <v>7.16</v>
      </c>
      <c r="G75">
        <v>85.5</v>
      </c>
      <c r="H75">
        <v>0.44159999999999999</v>
      </c>
      <c r="I75">
        <v>108.5478</v>
      </c>
      <c r="J75">
        <v>1.2828000000000001E-2</v>
      </c>
      <c r="K75">
        <v>0</v>
      </c>
      <c r="L75">
        <v>71.003</v>
      </c>
      <c r="M75">
        <v>0</v>
      </c>
      <c r="N75">
        <v>288.98480000000001</v>
      </c>
      <c r="O75">
        <v>2.3073960000000001E-2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 x14ac:dyDescent="0.25">
      <c r="A76" t="s">
        <v>174</v>
      </c>
      <c r="B76" t="s">
        <v>19</v>
      </c>
      <c r="C76" t="s">
        <v>59</v>
      </c>
      <c r="D76" t="s">
        <v>60</v>
      </c>
      <c r="E76" t="s">
        <v>165</v>
      </c>
      <c r="F76">
        <v>3.01</v>
      </c>
      <c r="G76">
        <v>91.6</v>
      </c>
      <c r="H76">
        <v>2.8799999999999999E-2</v>
      </c>
      <c r="I76">
        <v>553.30560000000003</v>
      </c>
      <c r="J76">
        <v>6.4139999999999998E-4</v>
      </c>
      <c r="K76">
        <v>4.4672000000000001</v>
      </c>
      <c r="L76">
        <v>4.9893999999999998</v>
      </c>
      <c r="M76">
        <v>0</v>
      </c>
      <c r="N76">
        <v>398.3304</v>
      </c>
      <c r="O76">
        <v>0.11866607999999999</v>
      </c>
      <c r="P76">
        <v>0</v>
      </c>
      <c r="Q76">
        <v>0</v>
      </c>
      <c r="R76">
        <v>0</v>
      </c>
      <c r="S76">
        <v>417.77820000000003</v>
      </c>
      <c r="T76">
        <v>0</v>
      </c>
    </row>
    <row r="77" spans="1:20" x14ac:dyDescent="0.25">
      <c r="A77" t="s">
        <v>175</v>
      </c>
      <c r="B77" t="s">
        <v>19</v>
      </c>
      <c r="C77" t="s">
        <v>59</v>
      </c>
      <c r="D77" t="s">
        <v>60</v>
      </c>
      <c r="E77" t="s">
        <v>165</v>
      </c>
      <c r="F77">
        <v>5.8</v>
      </c>
      <c r="G77">
        <v>78.099999999999994</v>
      </c>
      <c r="H77">
        <v>0.3296</v>
      </c>
      <c r="I77">
        <v>344.85539999999997</v>
      </c>
      <c r="J77">
        <v>0.166764</v>
      </c>
      <c r="K77">
        <v>0</v>
      </c>
      <c r="L77">
        <v>122.816</v>
      </c>
      <c r="M77">
        <v>0</v>
      </c>
      <c r="N77">
        <v>510.07920000000001</v>
      </c>
      <c r="O77">
        <v>3.3072676000000002E-2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 x14ac:dyDescent="0.25">
      <c r="A78" t="s">
        <v>176</v>
      </c>
      <c r="B78" t="s">
        <v>19</v>
      </c>
      <c r="C78" t="s">
        <v>59</v>
      </c>
      <c r="D78" t="s">
        <v>60</v>
      </c>
      <c r="E78" t="s">
        <v>165</v>
      </c>
      <c r="F78">
        <v>2.94</v>
      </c>
      <c r="G78">
        <v>81.599999999999994</v>
      </c>
      <c r="H78">
        <v>8.6400000000000005E-2</v>
      </c>
      <c r="I78">
        <v>612.86279999999999</v>
      </c>
      <c r="J78">
        <v>0</v>
      </c>
      <c r="K78">
        <v>0.55840000000000001</v>
      </c>
      <c r="L78">
        <v>2.3987500000000002</v>
      </c>
      <c r="M78">
        <v>0</v>
      </c>
      <c r="N78">
        <v>127.36960000000001</v>
      </c>
      <c r="O78">
        <v>1.7030779999999999E-2</v>
      </c>
      <c r="P78">
        <v>0</v>
      </c>
      <c r="Q78">
        <v>0</v>
      </c>
      <c r="R78">
        <v>5.9097780000000002</v>
      </c>
      <c r="S78">
        <v>35.959000000000003</v>
      </c>
      <c r="T78">
        <v>0</v>
      </c>
    </row>
    <row r="79" spans="1:20" x14ac:dyDescent="0.25">
      <c r="A79" t="s">
        <v>30</v>
      </c>
      <c r="B79" t="s">
        <v>190</v>
      </c>
      <c r="C79" t="s">
        <v>20</v>
      </c>
      <c r="D79" t="s">
        <v>24</v>
      </c>
      <c r="E79" t="s">
        <v>22</v>
      </c>
      <c r="F79">
        <v>2.4</v>
      </c>
      <c r="G79">
        <v>57.1</v>
      </c>
      <c r="H79">
        <v>4.2</v>
      </c>
      <c r="I79">
        <v>291.98200000000003</v>
      </c>
      <c r="J79">
        <v>0</v>
      </c>
      <c r="K79">
        <v>46.027119949999999</v>
      </c>
      <c r="L79">
        <v>0</v>
      </c>
      <c r="M79">
        <v>170.44159869999999</v>
      </c>
      <c r="N79">
        <v>82.22238385</v>
      </c>
      <c r="O79">
        <v>1.2579498769999999</v>
      </c>
      <c r="P79">
        <v>7.915921999</v>
      </c>
      <c r="Q79">
        <v>24.918172940000002</v>
      </c>
      <c r="R79">
        <v>0</v>
      </c>
      <c r="S79">
        <v>125.47094420000001</v>
      </c>
      <c r="T79">
        <v>34.499522689999999</v>
      </c>
    </row>
    <row r="80" spans="1:20" x14ac:dyDescent="0.25">
      <c r="A80" t="s">
        <v>31</v>
      </c>
      <c r="B80" t="s">
        <v>190</v>
      </c>
      <c r="C80" t="s">
        <v>20</v>
      </c>
      <c r="D80" t="s">
        <v>24</v>
      </c>
      <c r="E80" t="s">
        <v>22</v>
      </c>
      <c r="F80">
        <v>2.6</v>
      </c>
      <c r="G80">
        <v>37.799999999999997</v>
      </c>
      <c r="H80">
        <v>11.8</v>
      </c>
      <c r="I80">
        <v>136.03200000000001</v>
      </c>
      <c r="J80">
        <v>0</v>
      </c>
      <c r="K80">
        <v>128.8959304</v>
      </c>
      <c r="L80">
        <v>0</v>
      </c>
      <c r="M80">
        <v>309.97521769999997</v>
      </c>
      <c r="N80">
        <v>145.3965073</v>
      </c>
      <c r="O80">
        <v>2.3820520439999999</v>
      </c>
      <c r="P80">
        <v>8.6970375289999993</v>
      </c>
      <c r="Q80">
        <v>19.258311450000001</v>
      </c>
      <c r="R80">
        <v>53.622194589999999</v>
      </c>
      <c r="S80">
        <v>157.5746273</v>
      </c>
      <c r="T80">
        <v>22.282851090000001</v>
      </c>
    </row>
    <row r="81" spans="1:20" x14ac:dyDescent="0.25">
      <c r="A81" t="s">
        <v>437</v>
      </c>
      <c r="B81" t="s">
        <v>190</v>
      </c>
      <c r="C81" t="s">
        <v>20</v>
      </c>
      <c r="D81" t="s">
        <v>28</v>
      </c>
      <c r="E81" t="s">
        <v>22</v>
      </c>
      <c r="F81">
        <v>6.7</v>
      </c>
      <c r="G81">
        <v>50.7</v>
      </c>
      <c r="H81">
        <v>5.9</v>
      </c>
      <c r="I81">
        <v>30.0365</v>
      </c>
      <c r="J81">
        <v>4.5609999999999998E-2</v>
      </c>
      <c r="K81">
        <v>0</v>
      </c>
      <c r="L81">
        <v>0</v>
      </c>
      <c r="M81">
        <v>0.90177753999999999</v>
      </c>
      <c r="N81">
        <v>57.752629849999998</v>
      </c>
      <c r="O81">
        <v>0.264813833</v>
      </c>
      <c r="P81">
        <v>4.0567770000000003E-2</v>
      </c>
      <c r="Q81">
        <v>0</v>
      </c>
      <c r="R81">
        <v>0</v>
      </c>
      <c r="S81">
        <v>170.18531820000001</v>
      </c>
      <c r="T81">
        <v>18.41541471</v>
      </c>
    </row>
    <row r="82" spans="1:20" x14ac:dyDescent="0.25">
      <c r="A82" t="s">
        <v>119</v>
      </c>
      <c r="B82" t="s">
        <v>190</v>
      </c>
      <c r="C82" t="s">
        <v>20</v>
      </c>
      <c r="D82" t="s">
        <v>117</v>
      </c>
      <c r="E82" t="s">
        <v>118</v>
      </c>
      <c r="F82">
        <v>3.6</v>
      </c>
      <c r="G82">
        <v>45</v>
      </c>
      <c r="H82">
        <v>9</v>
      </c>
      <c r="I82">
        <v>198.3015</v>
      </c>
      <c r="J82">
        <v>0.2248</v>
      </c>
      <c r="K82">
        <v>19.956790850000001</v>
      </c>
      <c r="L82">
        <v>0</v>
      </c>
      <c r="M82">
        <v>1.6033036199999999</v>
      </c>
      <c r="N82">
        <v>82.31406432</v>
      </c>
      <c r="O82">
        <v>4.9083066879999997</v>
      </c>
      <c r="P82">
        <v>0.233164545</v>
      </c>
      <c r="Q82">
        <v>0</v>
      </c>
      <c r="R82">
        <v>0</v>
      </c>
      <c r="S82">
        <v>58.655807899999999</v>
      </c>
      <c r="T82">
        <v>43.879800330000002</v>
      </c>
    </row>
    <row r="83" spans="1:20" x14ac:dyDescent="0.25">
      <c r="A83" t="s">
        <v>11</v>
      </c>
      <c r="B83" t="s">
        <v>12</v>
      </c>
      <c r="C83" t="s">
        <v>13</v>
      </c>
      <c r="D83" t="s">
        <v>14</v>
      </c>
      <c r="E83" t="s">
        <v>15</v>
      </c>
      <c r="F83">
        <v>-0.47</v>
      </c>
      <c r="G83">
        <v>92.9</v>
      </c>
      <c r="H83">
        <v>2.68</v>
      </c>
      <c r="I83">
        <v>969</v>
      </c>
      <c r="J83">
        <v>3.9</v>
      </c>
      <c r="K83">
        <v>44</v>
      </c>
      <c r="L83">
        <v>9</v>
      </c>
      <c r="M83">
        <v>351</v>
      </c>
      <c r="N83">
        <v>61</v>
      </c>
      <c r="O83">
        <v>1.2</v>
      </c>
      <c r="P83">
        <v>33</v>
      </c>
      <c r="Q83">
        <v>731</v>
      </c>
      <c r="R83">
        <v>273</v>
      </c>
      <c r="S83">
        <v>112</v>
      </c>
      <c r="T83">
        <v>49</v>
      </c>
    </row>
    <row r="84" spans="1:20" x14ac:dyDescent="0.25">
      <c r="A84" t="s">
        <v>16</v>
      </c>
      <c r="B84" t="s">
        <v>12</v>
      </c>
      <c r="C84" t="s">
        <v>13</v>
      </c>
      <c r="D84" t="s">
        <v>14</v>
      </c>
      <c r="E84" t="s">
        <v>15</v>
      </c>
      <c r="F84">
        <v>0.6</v>
      </c>
      <c r="G84">
        <v>97.6</v>
      </c>
      <c r="H84">
        <v>0</v>
      </c>
      <c r="I84">
        <v>898</v>
      </c>
      <c r="J84">
        <v>0.88</v>
      </c>
      <c r="K84">
        <v>60</v>
      </c>
      <c r="L84">
        <v>5</v>
      </c>
      <c r="M84">
        <v>505</v>
      </c>
      <c r="N84">
        <v>96</v>
      </c>
      <c r="O84">
        <v>1.1000000000000001</v>
      </c>
      <c r="P84">
        <v>37</v>
      </c>
      <c r="Q84">
        <v>272</v>
      </c>
      <c r="R84">
        <v>129</v>
      </c>
      <c r="S84">
        <v>133</v>
      </c>
      <c r="T84">
        <v>45</v>
      </c>
    </row>
    <row r="85" spans="1:20" x14ac:dyDescent="0.25">
      <c r="A85" t="s">
        <v>17</v>
      </c>
      <c r="B85" t="s">
        <v>12</v>
      </c>
      <c r="C85" t="s">
        <v>13</v>
      </c>
      <c r="D85" t="s">
        <v>14</v>
      </c>
      <c r="E85" t="s">
        <v>15</v>
      </c>
      <c r="F85">
        <v>0.72</v>
      </c>
      <c r="G85">
        <v>97.5</v>
      </c>
      <c r="H85">
        <v>0</v>
      </c>
      <c r="I85">
        <v>488</v>
      </c>
      <c r="J85">
        <v>0.25</v>
      </c>
      <c r="K85">
        <v>36</v>
      </c>
      <c r="L85">
        <v>7</v>
      </c>
      <c r="M85">
        <v>254</v>
      </c>
      <c r="N85">
        <v>0</v>
      </c>
      <c r="O85">
        <v>0.80600000000000005</v>
      </c>
      <c r="P85">
        <v>25</v>
      </c>
      <c r="Q85">
        <v>204</v>
      </c>
      <c r="R85">
        <v>213</v>
      </c>
      <c r="S85">
        <v>135</v>
      </c>
      <c r="T85">
        <v>33</v>
      </c>
    </row>
    <row r="86" spans="1:20" x14ac:dyDescent="0.25">
      <c r="A86" t="s">
        <v>37</v>
      </c>
      <c r="B86" t="s">
        <v>12</v>
      </c>
      <c r="C86" t="s">
        <v>13</v>
      </c>
      <c r="D86" t="s">
        <v>38</v>
      </c>
      <c r="E86" t="s">
        <v>22</v>
      </c>
      <c r="F86">
        <v>6.08</v>
      </c>
      <c r="G86">
        <v>50.9</v>
      </c>
      <c r="H86">
        <v>5.4</v>
      </c>
      <c r="I86">
        <v>181</v>
      </c>
      <c r="J86">
        <v>0.02</v>
      </c>
      <c r="K86">
        <v>0</v>
      </c>
      <c r="L86">
        <v>9</v>
      </c>
      <c r="M86">
        <v>3</v>
      </c>
      <c r="N86">
        <v>147</v>
      </c>
      <c r="O86">
        <v>0.41899999999999998</v>
      </c>
      <c r="P86">
        <v>0</v>
      </c>
      <c r="Q86">
        <v>0</v>
      </c>
      <c r="R86">
        <v>3</v>
      </c>
      <c r="S86">
        <v>20</v>
      </c>
      <c r="T86">
        <v>2.8</v>
      </c>
    </row>
    <row r="87" spans="1:20" x14ac:dyDescent="0.25">
      <c r="A87" t="s">
        <v>39</v>
      </c>
      <c r="B87" t="s">
        <v>12</v>
      </c>
      <c r="C87" t="s">
        <v>13</v>
      </c>
      <c r="D87" t="s">
        <v>38</v>
      </c>
      <c r="E87" t="s">
        <v>22</v>
      </c>
      <c r="F87">
        <v>5.83</v>
      </c>
      <c r="G87">
        <v>56.1</v>
      </c>
      <c r="H87">
        <v>4.47</v>
      </c>
      <c r="I87">
        <v>218</v>
      </c>
      <c r="J87">
        <v>0.02</v>
      </c>
      <c r="K87">
        <v>0</v>
      </c>
      <c r="L87">
        <v>12</v>
      </c>
      <c r="M87">
        <v>6</v>
      </c>
      <c r="N87">
        <v>148</v>
      </c>
      <c r="O87">
        <v>0.25700000000000001</v>
      </c>
      <c r="P87">
        <v>0</v>
      </c>
      <c r="Q87">
        <v>0</v>
      </c>
      <c r="R87">
        <v>3</v>
      </c>
      <c r="S87">
        <v>26</v>
      </c>
      <c r="T87">
        <v>2</v>
      </c>
    </row>
    <row r="88" spans="1:20" x14ac:dyDescent="0.25">
      <c r="A88" t="s">
        <v>40</v>
      </c>
      <c r="B88" t="s">
        <v>12</v>
      </c>
      <c r="C88" t="s">
        <v>13</v>
      </c>
      <c r="D88" t="s">
        <v>38</v>
      </c>
      <c r="E88" t="s">
        <v>22</v>
      </c>
      <c r="F88">
        <v>9.33</v>
      </c>
      <c r="G88">
        <v>98</v>
      </c>
      <c r="H88">
        <v>1.97</v>
      </c>
      <c r="I88">
        <v>133</v>
      </c>
      <c r="J88">
        <v>0</v>
      </c>
      <c r="K88">
        <v>0</v>
      </c>
      <c r="L88">
        <v>24</v>
      </c>
      <c r="M88">
        <v>23</v>
      </c>
      <c r="N88">
        <v>204</v>
      </c>
      <c r="O88">
        <v>0</v>
      </c>
      <c r="P88">
        <v>0</v>
      </c>
      <c r="Q88">
        <v>0</v>
      </c>
      <c r="R88">
        <v>61</v>
      </c>
      <c r="S88">
        <v>13</v>
      </c>
      <c r="T88">
        <v>0.19500000000000001</v>
      </c>
    </row>
    <row r="89" spans="1:20" x14ac:dyDescent="0.25">
      <c r="A89" t="s">
        <v>72</v>
      </c>
      <c r="B89" t="s">
        <v>12</v>
      </c>
      <c r="C89" t="s">
        <v>13</v>
      </c>
      <c r="D89" t="s">
        <v>73</v>
      </c>
      <c r="E89" t="s">
        <v>74</v>
      </c>
      <c r="F89">
        <v>8.7100000000000009</v>
      </c>
      <c r="G89">
        <v>98.8</v>
      </c>
      <c r="H89">
        <v>1.96</v>
      </c>
      <c r="I89">
        <v>95</v>
      </c>
      <c r="J89">
        <v>0.48</v>
      </c>
      <c r="K89">
        <v>0</v>
      </c>
      <c r="L89">
        <v>22</v>
      </c>
      <c r="M89">
        <v>0</v>
      </c>
      <c r="N89">
        <v>133</v>
      </c>
      <c r="O89">
        <v>0.01</v>
      </c>
      <c r="P89">
        <v>0</v>
      </c>
      <c r="Q89">
        <v>30</v>
      </c>
      <c r="R89">
        <v>64</v>
      </c>
      <c r="S89">
        <v>41</v>
      </c>
      <c r="T89">
        <v>1.5</v>
      </c>
    </row>
    <row r="90" spans="1:20" x14ac:dyDescent="0.25">
      <c r="A90" t="s">
        <v>76</v>
      </c>
      <c r="B90" t="s">
        <v>12</v>
      </c>
      <c r="C90" t="s">
        <v>13</v>
      </c>
      <c r="D90" t="s">
        <v>77</v>
      </c>
      <c r="E90" t="s">
        <v>74</v>
      </c>
      <c r="F90">
        <v>6.15</v>
      </c>
      <c r="G90">
        <v>49.6</v>
      </c>
      <c r="H90">
        <v>2.2799999999999998</v>
      </c>
      <c r="I90">
        <v>0.52</v>
      </c>
      <c r="J90">
        <v>0</v>
      </c>
      <c r="K90">
        <v>0.78100000000000003</v>
      </c>
      <c r="L90">
        <v>0</v>
      </c>
      <c r="M90">
        <v>0</v>
      </c>
      <c r="N90">
        <v>87</v>
      </c>
      <c r="O90">
        <v>0.34100000000000003</v>
      </c>
      <c r="P90">
        <v>0</v>
      </c>
      <c r="Q90">
        <v>6</v>
      </c>
      <c r="R90">
        <v>20</v>
      </c>
      <c r="S90">
        <v>49</v>
      </c>
      <c r="T90">
        <v>6.7</v>
      </c>
    </row>
    <row r="91" spans="1:20" x14ac:dyDescent="0.25">
      <c r="A91" t="s">
        <v>78</v>
      </c>
      <c r="B91" t="s">
        <v>12</v>
      </c>
      <c r="C91" t="s">
        <v>13</v>
      </c>
      <c r="D91" t="s">
        <v>77</v>
      </c>
      <c r="E91" t="s">
        <v>74</v>
      </c>
      <c r="F91">
        <v>6.22</v>
      </c>
      <c r="G91">
        <v>48.4</v>
      </c>
      <c r="H91">
        <v>2.4500000000000002</v>
      </c>
      <c r="I91">
        <v>0.68</v>
      </c>
      <c r="J91">
        <v>0</v>
      </c>
      <c r="K91">
        <v>0.48199999999999998</v>
      </c>
      <c r="L91">
        <v>0</v>
      </c>
      <c r="M91">
        <v>0</v>
      </c>
      <c r="N91">
        <v>86</v>
      </c>
      <c r="O91">
        <v>0.33700000000000002</v>
      </c>
      <c r="P91">
        <v>0</v>
      </c>
      <c r="Q91">
        <v>5</v>
      </c>
      <c r="R91">
        <v>18</v>
      </c>
      <c r="S91">
        <v>42</v>
      </c>
      <c r="T91">
        <v>6.6</v>
      </c>
    </row>
    <row r="92" spans="1:20" x14ac:dyDescent="0.25">
      <c r="A92" t="s">
        <v>79</v>
      </c>
      <c r="B92" t="s">
        <v>12</v>
      </c>
      <c r="C92" t="s">
        <v>13</v>
      </c>
      <c r="D92" t="s">
        <v>77</v>
      </c>
      <c r="E92" t="s">
        <v>74</v>
      </c>
      <c r="F92">
        <v>6.25</v>
      </c>
      <c r="G92">
        <v>40.299999999999997</v>
      </c>
      <c r="H92">
        <v>2.2599999999999998</v>
      </c>
      <c r="I92">
        <v>0.28000000000000003</v>
      </c>
      <c r="J92">
        <v>0</v>
      </c>
      <c r="K92">
        <v>2.6</v>
      </c>
      <c r="L92">
        <v>0</v>
      </c>
      <c r="M92">
        <v>0</v>
      </c>
      <c r="N92">
        <v>73</v>
      </c>
      <c r="O92">
        <v>0.32</v>
      </c>
      <c r="P92">
        <v>0</v>
      </c>
      <c r="Q92">
        <v>4</v>
      </c>
      <c r="R92">
        <v>17</v>
      </c>
      <c r="S92">
        <v>56</v>
      </c>
      <c r="T92">
        <v>6.9</v>
      </c>
    </row>
    <row r="93" spans="1:20" x14ac:dyDescent="0.25">
      <c r="A93" t="s">
        <v>80</v>
      </c>
      <c r="B93" t="s">
        <v>12</v>
      </c>
      <c r="C93" t="s">
        <v>13</v>
      </c>
      <c r="D93" t="s">
        <v>77</v>
      </c>
      <c r="E93" t="s">
        <v>74</v>
      </c>
      <c r="F93">
        <v>6.41</v>
      </c>
      <c r="G93">
        <v>41</v>
      </c>
      <c r="H93">
        <v>2.89</v>
      </c>
      <c r="I93">
        <v>1</v>
      </c>
      <c r="J93">
        <v>0</v>
      </c>
      <c r="K93">
        <v>0</v>
      </c>
      <c r="L93">
        <v>0</v>
      </c>
      <c r="M93">
        <v>0</v>
      </c>
      <c r="N93">
        <v>80</v>
      </c>
      <c r="O93">
        <v>0.34300000000000003</v>
      </c>
      <c r="P93">
        <v>0</v>
      </c>
      <c r="Q93">
        <v>4</v>
      </c>
      <c r="R93">
        <v>17</v>
      </c>
      <c r="S93">
        <v>39</v>
      </c>
      <c r="T93">
        <v>6.6</v>
      </c>
    </row>
    <row r="94" spans="1:20" x14ac:dyDescent="0.25">
      <c r="A94" t="s">
        <v>81</v>
      </c>
      <c r="B94" t="s">
        <v>12</v>
      </c>
      <c r="C94" t="s">
        <v>13</v>
      </c>
      <c r="D94" t="s">
        <v>77</v>
      </c>
      <c r="E94" t="s">
        <v>74</v>
      </c>
      <c r="F94">
        <v>7.55</v>
      </c>
      <c r="G94">
        <v>36.799999999999997</v>
      </c>
      <c r="H94">
        <v>2.4700000000000002</v>
      </c>
      <c r="I94">
        <v>2.4</v>
      </c>
      <c r="J94">
        <v>0</v>
      </c>
      <c r="K94">
        <v>0</v>
      </c>
      <c r="L94">
        <v>0</v>
      </c>
      <c r="M94">
        <v>0</v>
      </c>
      <c r="N94">
        <v>77</v>
      </c>
      <c r="O94">
        <v>0.26600000000000001</v>
      </c>
      <c r="P94">
        <v>0</v>
      </c>
      <c r="Q94">
        <v>2</v>
      </c>
      <c r="R94">
        <v>18</v>
      </c>
      <c r="S94">
        <v>30</v>
      </c>
      <c r="T94">
        <v>6.7</v>
      </c>
    </row>
    <row r="95" spans="1:20" x14ac:dyDescent="0.25">
      <c r="A95" t="s">
        <v>121</v>
      </c>
      <c r="B95" t="s">
        <v>12</v>
      </c>
      <c r="C95" t="s">
        <v>13</v>
      </c>
      <c r="D95" t="s">
        <v>122</v>
      </c>
      <c r="E95" t="s">
        <v>123</v>
      </c>
      <c r="F95">
        <v>2.29</v>
      </c>
      <c r="G95">
        <v>29.3</v>
      </c>
      <c r="H95">
        <v>3.06</v>
      </c>
      <c r="I95">
        <v>570</v>
      </c>
      <c r="J95">
        <v>0.72</v>
      </c>
      <c r="K95">
        <v>2.8</v>
      </c>
      <c r="L95">
        <v>0</v>
      </c>
      <c r="M95">
        <v>3</v>
      </c>
      <c r="N95">
        <v>159</v>
      </c>
      <c r="O95">
        <v>0.53500000000000003</v>
      </c>
      <c r="P95">
        <v>1</v>
      </c>
      <c r="Q95">
        <v>18</v>
      </c>
      <c r="R95">
        <v>0</v>
      </c>
      <c r="S95">
        <v>48</v>
      </c>
      <c r="T95">
        <v>4.7</v>
      </c>
    </row>
    <row r="96" spans="1:20" x14ac:dyDescent="0.25">
      <c r="A96" t="s">
        <v>124</v>
      </c>
      <c r="B96" t="s">
        <v>12</v>
      </c>
      <c r="C96" t="s">
        <v>13</v>
      </c>
      <c r="D96" t="s">
        <v>122</v>
      </c>
      <c r="E96" t="s">
        <v>123</v>
      </c>
      <c r="F96">
        <v>3.69</v>
      </c>
      <c r="G96">
        <v>20</v>
      </c>
      <c r="H96">
        <v>3.82</v>
      </c>
      <c r="I96">
        <v>222</v>
      </c>
      <c r="J96">
        <v>2.1</v>
      </c>
      <c r="K96">
        <v>0.93200000000000005</v>
      </c>
      <c r="L96">
        <v>0</v>
      </c>
      <c r="M96">
        <v>0</v>
      </c>
      <c r="N96">
        <v>349</v>
      </c>
      <c r="O96">
        <v>0.13300000000000001</v>
      </c>
      <c r="P96">
        <v>0</v>
      </c>
      <c r="Q96">
        <v>12</v>
      </c>
      <c r="R96">
        <v>21</v>
      </c>
      <c r="S96">
        <v>30</v>
      </c>
      <c r="T96">
        <v>0.26900000000000002</v>
      </c>
    </row>
    <row r="97" spans="1:20" x14ac:dyDescent="0.25">
      <c r="A97" t="s">
        <v>125</v>
      </c>
      <c r="B97" t="s">
        <v>12</v>
      </c>
      <c r="C97" t="s">
        <v>13</v>
      </c>
      <c r="D97" t="s">
        <v>122</v>
      </c>
      <c r="E97" t="s">
        <v>123</v>
      </c>
      <c r="F97">
        <v>2.2799999999999998</v>
      </c>
      <c r="G97">
        <v>29.2</v>
      </c>
      <c r="H97">
        <v>3.72</v>
      </c>
      <c r="I97">
        <v>518</v>
      </c>
      <c r="J97">
        <v>6.6</v>
      </c>
      <c r="K97">
        <v>2.7</v>
      </c>
      <c r="L97">
        <v>1</v>
      </c>
      <c r="M97">
        <v>2</v>
      </c>
      <c r="N97">
        <v>147</v>
      </c>
      <c r="O97">
        <v>0.52400000000000002</v>
      </c>
      <c r="P97">
        <v>0</v>
      </c>
      <c r="Q97">
        <v>4</v>
      </c>
      <c r="R97">
        <v>0</v>
      </c>
      <c r="S97">
        <v>34</v>
      </c>
      <c r="T97">
        <v>5.0999999999999996</v>
      </c>
    </row>
    <row r="98" spans="1:20" x14ac:dyDescent="0.25">
      <c r="A98" t="s">
        <v>126</v>
      </c>
      <c r="B98" t="s">
        <v>12</v>
      </c>
      <c r="C98" t="s">
        <v>13</v>
      </c>
      <c r="D98" t="s">
        <v>122</v>
      </c>
      <c r="E98" t="s">
        <v>123</v>
      </c>
      <c r="F98">
        <v>2.34</v>
      </c>
      <c r="G98">
        <v>36.6</v>
      </c>
      <c r="H98">
        <v>2.84</v>
      </c>
      <c r="I98">
        <v>463</v>
      </c>
      <c r="J98">
        <v>0.2</v>
      </c>
      <c r="K98">
        <v>2.5</v>
      </c>
      <c r="L98">
        <v>1</v>
      </c>
      <c r="M98">
        <v>0</v>
      </c>
      <c r="N98">
        <v>165</v>
      </c>
      <c r="O98">
        <v>0.52500000000000002</v>
      </c>
      <c r="P98">
        <v>0</v>
      </c>
      <c r="Q98">
        <v>4</v>
      </c>
      <c r="R98">
        <v>0</v>
      </c>
      <c r="S98">
        <v>32</v>
      </c>
      <c r="T98">
        <v>4.9000000000000004</v>
      </c>
    </row>
    <row r="99" spans="1:20" x14ac:dyDescent="0.25">
      <c r="A99" t="s">
        <v>127</v>
      </c>
      <c r="B99" t="s">
        <v>12</v>
      </c>
      <c r="C99" t="s">
        <v>13</v>
      </c>
      <c r="D99" t="s">
        <v>122</v>
      </c>
      <c r="E99" t="s">
        <v>123</v>
      </c>
      <c r="F99">
        <v>2.41</v>
      </c>
      <c r="G99">
        <v>48.8</v>
      </c>
      <c r="H99">
        <v>2.95</v>
      </c>
      <c r="I99">
        <v>512</v>
      </c>
      <c r="J99">
        <v>2.6</v>
      </c>
      <c r="K99">
        <v>2.6</v>
      </c>
      <c r="L99">
        <v>0</v>
      </c>
      <c r="M99">
        <v>4</v>
      </c>
      <c r="N99">
        <v>179</v>
      </c>
      <c r="O99">
        <v>0.67500000000000004</v>
      </c>
      <c r="P99">
        <v>0</v>
      </c>
      <c r="Q99">
        <v>4</v>
      </c>
      <c r="R99">
        <v>0</v>
      </c>
      <c r="S99">
        <v>57</v>
      </c>
      <c r="T99">
        <v>5.6</v>
      </c>
    </row>
    <row r="100" spans="1:20" x14ac:dyDescent="0.25">
      <c r="A100" t="s">
        <v>128</v>
      </c>
      <c r="B100" t="s">
        <v>12</v>
      </c>
      <c r="C100" t="s">
        <v>13</v>
      </c>
      <c r="D100" t="s">
        <v>122</v>
      </c>
      <c r="E100" t="s">
        <v>123</v>
      </c>
      <c r="F100">
        <v>2.36</v>
      </c>
      <c r="G100">
        <v>36.1</v>
      </c>
      <c r="H100">
        <v>3.82</v>
      </c>
      <c r="I100">
        <v>565</v>
      </c>
      <c r="J100">
        <v>1.1000000000000001</v>
      </c>
      <c r="K100">
        <v>0.56299999999999994</v>
      </c>
      <c r="L100">
        <v>0</v>
      </c>
      <c r="M100">
        <v>3</v>
      </c>
      <c r="N100">
        <v>115</v>
      </c>
      <c r="O100">
        <v>0.317</v>
      </c>
      <c r="P100">
        <v>0</v>
      </c>
      <c r="Q100">
        <v>3</v>
      </c>
      <c r="R100">
        <v>0</v>
      </c>
      <c r="S100">
        <v>67</v>
      </c>
      <c r="T100">
        <v>2.8</v>
      </c>
    </row>
    <row r="101" spans="1:20" x14ac:dyDescent="0.25">
      <c r="A101" t="s">
        <v>129</v>
      </c>
      <c r="B101" t="s">
        <v>12</v>
      </c>
      <c r="C101" t="s">
        <v>13</v>
      </c>
      <c r="D101" t="s">
        <v>122</v>
      </c>
      <c r="E101" t="s">
        <v>123</v>
      </c>
      <c r="F101">
        <v>2.33</v>
      </c>
      <c r="G101">
        <v>26.1</v>
      </c>
      <c r="H101">
        <v>2.73</v>
      </c>
      <c r="I101">
        <v>466</v>
      </c>
      <c r="J101">
        <v>0.03</v>
      </c>
      <c r="K101">
        <v>2.4</v>
      </c>
      <c r="L101">
        <v>1</v>
      </c>
      <c r="M101">
        <v>0</v>
      </c>
      <c r="N101">
        <v>150</v>
      </c>
      <c r="O101">
        <v>0.44</v>
      </c>
      <c r="P101">
        <v>0</v>
      </c>
      <c r="Q101">
        <v>2</v>
      </c>
      <c r="R101">
        <v>1</v>
      </c>
      <c r="S101">
        <v>38</v>
      </c>
      <c r="T101">
        <v>4.5</v>
      </c>
    </row>
    <row r="102" spans="1:20" x14ac:dyDescent="0.25">
      <c r="A102" t="s">
        <v>130</v>
      </c>
      <c r="B102" t="s">
        <v>12</v>
      </c>
      <c r="C102" t="s">
        <v>13</v>
      </c>
      <c r="D102" t="s">
        <v>122</v>
      </c>
      <c r="E102" t="s">
        <v>123</v>
      </c>
      <c r="F102">
        <v>4.9400000000000004</v>
      </c>
      <c r="G102">
        <v>17.5</v>
      </c>
      <c r="H102">
        <v>4.17</v>
      </c>
      <c r="I102">
        <v>158</v>
      </c>
      <c r="J102">
        <v>0.19</v>
      </c>
      <c r="K102">
        <v>0.96</v>
      </c>
      <c r="L102">
        <v>0</v>
      </c>
      <c r="M102">
        <v>0</v>
      </c>
      <c r="N102">
        <v>350</v>
      </c>
      <c r="O102">
        <v>0.151</v>
      </c>
      <c r="P102">
        <v>0</v>
      </c>
      <c r="Q102">
        <v>0</v>
      </c>
      <c r="R102">
        <v>33</v>
      </c>
      <c r="S102">
        <v>60</v>
      </c>
      <c r="T102">
        <v>0.51900000000000002</v>
      </c>
    </row>
    <row r="103" spans="1:20" x14ac:dyDescent="0.25">
      <c r="A103" t="s">
        <v>131</v>
      </c>
      <c r="B103" t="s">
        <v>12</v>
      </c>
      <c r="C103" t="s">
        <v>13</v>
      </c>
      <c r="D103" t="s">
        <v>132</v>
      </c>
      <c r="E103" t="s">
        <v>133</v>
      </c>
      <c r="F103">
        <v>8.5</v>
      </c>
      <c r="G103">
        <v>30.1</v>
      </c>
      <c r="H103">
        <v>4.84</v>
      </c>
      <c r="I103">
        <v>48</v>
      </c>
      <c r="J103">
        <v>0.03</v>
      </c>
      <c r="K103">
        <v>0.77400000000000002</v>
      </c>
      <c r="L103">
        <v>20</v>
      </c>
      <c r="M103">
        <v>0</v>
      </c>
      <c r="N103">
        <v>239</v>
      </c>
      <c r="O103">
        <v>8.0000000000000002E-3</v>
      </c>
      <c r="P103">
        <v>0</v>
      </c>
      <c r="Q103">
        <v>10</v>
      </c>
      <c r="R103">
        <v>26</v>
      </c>
      <c r="S103">
        <v>27</v>
      </c>
      <c r="T103">
        <v>0.191</v>
      </c>
    </row>
    <row r="104" spans="1:20" x14ac:dyDescent="0.25">
      <c r="A104" t="s">
        <v>134</v>
      </c>
      <c r="B104" t="s">
        <v>12</v>
      </c>
      <c r="C104" t="s">
        <v>13</v>
      </c>
      <c r="D104" t="s">
        <v>132</v>
      </c>
      <c r="E104" t="s">
        <v>133</v>
      </c>
      <c r="F104">
        <v>6.65</v>
      </c>
      <c r="G104">
        <v>44.6</v>
      </c>
      <c r="H104">
        <v>4.4800000000000004</v>
      </c>
      <c r="I104">
        <v>6.4</v>
      </c>
      <c r="J104">
        <v>0.01</v>
      </c>
      <c r="K104">
        <v>1.3</v>
      </c>
      <c r="L104">
        <v>0</v>
      </c>
      <c r="M104">
        <v>2</v>
      </c>
      <c r="N104">
        <v>157</v>
      </c>
      <c r="O104">
        <v>1</v>
      </c>
      <c r="P104">
        <v>0</v>
      </c>
      <c r="Q104">
        <v>0</v>
      </c>
      <c r="R104">
        <v>13</v>
      </c>
      <c r="S104">
        <v>60</v>
      </c>
      <c r="T104">
        <v>27</v>
      </c>
    </row>
    <row r="105" spans="1:20" x14ac:dyDescent="0.25">
      <c r="A105" t="s">
        <v>135</v>
      </c>
      <c r="B105" t="s">
        <v>12</v>
      </c>
      <c r="C105" t="s">
        <v>13</v>
      </c>
      <c r="D105" t="s">
        <v>132</v>
      </c>
      <c r="E105" t="s">
        <v>133</v>
      </c>
      <c r="F105">
        <v>7.12</v>
      </c>
      <c r="G105">
        <v>34.5</v>
      </c>
      <c r="H105">
        <v>5.43</v>
      </c>
      <c r="I105">
        <v>6.4</v>
      </c>
      <c r="J105">
        <v>0.01</v>
      </c>
      <c r="K105">
        <v>1.4</v>
      </c>
      <c r="L105">
        <v>0</v>
      </c>
      <c r="M105">
        <v>0</v>
      </c>
      <c r="N105">
        <v>189</v>
      </c>
      <c r="O105">
        <v>1.1000000000000001</v>
      </c>
      <c r="P105">
        <v>0</v>
      </c>
      <c r="Q105">
        <v>0</v>
      </c>
      <c r="R105">
        <v>10</v>
      </c>
      <c r="S105">
        <v>38</v>
      </c>
      <c r="T105">
        <v>29</v>
      </c>
    </row>
    <row r="106" spans="1:20" x14ac:dyDescent="0.25">
      <c r="A106" t="s">
        <v>136</v>
      </c>
      <c r="B106" t="s">
        <v>12</v>
      </c>
      <c r="C106" t="s">
        <v>13</v>
      </c>
      <c r="D106" t="s">
        <v>137</v>
      </c>
      <c r="E106" t="s">
        <v>138</v>
      </c>
      <c r="F106">
        <v>1.37</v>
      </c>
      <c r="G106">
        <v>59.5</v>
      </c>
      <c r="H106">
        <v>2</v>
      </c>
      <c r="I106">
        <v>4899</v>
      </c>
      <c r="J106">
        <v>33</v>
      </c>
      <c r="K106">
        <v>34</v>
      </c>
      <c r="L106">
        <v>2</v>
      </c>
      <c r="M106">
        <v>95</v>
      </c>
      <c r="N106">
        <v>115</v>
      </c>
      <c r="O106">
        <v>1.1000000000000001</v>
      </c>
      <c r="P106">
        <v>5</v>
      </c>
      <c r="Q106">
        <v>14</v>
      </c>
      <c r="R106">
        <v>7</v>
      </c>
      <c r="S106">
        <v>230</v>
      </c>
      <c r="T106">
        <v>15.4</v>
      </c>
    </row>
    <row r="107" spans="1:20" x14ac:dyDescent="0.25">
      <c r="A107" t="s">
        <v>139</v>
      </c>
      <c r="B107" t="s">
        <v>12</v>
      </c>
      <c r="C107" t="s">
        <v>13</v>
      </c>
      <c r="D107" t="s">
        <v>137</v>
      </c>
      <c r="E107" t="s">
        <v>138</v>
      </c>
      <c r="F107">
        <v>5.66</v>
      </c>
      <c r="G107">
        <v>80.5</v>
      </c>
      <c r="H107">
        <v>4.2</v>
      </c>
      <c r="I107">
        <v>226</v>
      </c>
      <c r="J107">
        <v>15.6</v>
      </c>
      <c r="K107">
        <v>1.2</v>
      </c>
      <c r="L107">
        <v>10</v>
      </c>
      <c r="M107">
        <v>0</v>
      </c>
      <c r="N107">
        <v>118</v>
      </c>
      <c r="O107">
        <v>6.9000000000000006E-2</v>
      </c>
      <c r="P107">
        <v>0</v>
      </c>
      <c r="Q107">
        <v>13</v>
      </c>
      <c r="R107">
        <v>227</v>
      </c>
      <c r="S107">
        <v>113</v>
      </c>
      <c r="T107">
        <v>2</v>
      </c>
    </row>
    <row r="108" spans="1:20" x14ac:dyDescent="0.25">
      <c r="A108" t="s">
        <v>140</v>
      </c>
      <c r="B108" t="s">
        <v>12</v>
      </c>
      <c r="C108" t="s">
        <v>13</v>
      </c>
      <c r="D108" t="s">
        <v>137</v>
      </c>
      <c r="E108" t="s">
        <v>138</v>
      </c>
      <c r="F108">
        <v>2.36</v>
      </c>
      <c r="G108">
        <v>28.9</v>
      </c>
      <c r="H108">
        <v>5.19</v>
      </c>
      <c r="I108">
        <v>312</v>
      </c>
      <c r="J108">
        <v>0</v>
      </c>
      <c r="K108">
        <v>9.1</v>
      </c>
      <c r="L108">
        <v>0</v>
      </c>
      <c r="M108">
        <v>15</v>
      </c>
      <c r="N108">
        <v>74</v>
      </c>
      <c r="O108">
        <v>0.29599999999999999</v>
      </c>
      <c r="P108">
        <v>3</v>
      </c>
      <c r="Q108">
        <v>12</v>
      </c>
      <c r="R108">
        <v>85</v>
      </c>
      <c r="S108">
        <v>160</v>
      </c>
      <c r="T108">
        <v>2.8</v>
      </c>
    </row>
    <row r="109" spans="1:20" x14ac:dyDescent="0.25">
      <c r="A109" t="s">
        <v>141</v>
      </c>
      <c r="B109" t="s">
        <v>12</v>
      </c>
      <c r="C109" t="s">
        <v>13</v>
      </c>
      <c r="D109" t="s">
        <v>137</v>
      </c>
      <c r="E109" t="s">
        <v>138</v>
      </c>
      <c r="F109">
        <v>2.06</v>
      </c>
      <c r="G109">
        <v>20.5</v>
      </c>
      <c r="H109">
        <v>4.7699999999999996</v>
      </c>
      <c r="I109">
        <v>570</v>
      </c>
      <c r="J109">
        <v>0</v>
      </c>
      <c r="K109">
        <v>3.4</v>
      </c>
      <c r="L109">
        <v>0</v>
      </c>
      <c r="M109">
        <v>6</v>
      </c>
      <c r="N109">
        <v>61</v>
      </c>
      <c r="O109">
        <v>0.104</v>
      </c>
      <c r="P109">
        <v>0</v>
      </c>
      <c r="Q109">
        <v>9</v>
      </c>
      <c r="R109">
        <v>236</v>
      </c>
      <c r="S109">
        <v>51</v>
      </c>
      <c r="T109">
        <v>1.1000000000000001</v>
      </c>
    </row>
    <row r="110" spans="1:20" x14ac:dyDescent="0.25">
      <c r="A110" t="s">
        <v>142</v>
      </c>
      <c r="B110" t="s">
        <v>12</v>
      </c>
      <c r="C110" t="s">
        <v>13</v>
      </c>
      <c r="D110" t="s">
        <v>137</v>
      </c>
      <c r="E110" t="s">
        <v>138</v>
      </c>
      <c r="F110">
        <v>8.3800000000000008</v>
      </c>
      <c r="G110">
        <v>97.5</v>
      </c>
      <c r="H110">
        <v>1.07</v>
      </c>
      <c r="I110">
        <v>114</v>
      </c>
      <c r="J110">
        <v>18.399999999999999</v>
      </c>
      <c r="K110">
        <v>0</v>
      </c>
      <c r="L110">
        <v>0</v>
      </c>
      <c r="M110">
        <v>0</v>
      </c>
      <c r="N110">
        <v>114</v>
      </c>
      <c r="O110">
        <v>5.0000000000000001E-3</v>
      </c>
      <c r="P110">
        <v>0</v>
      </c>
      <c r="Q110">
        <v>7</v>
      </c>
      <c r="R110">
        <v>252</v>
      </c>
      <c r="S110">
        <v>22</v>
      </c>
      <c r="T110">
        <v>0.247</v>
      </c>
    </row>
    <row r="111" spans="1:20" x14ac:dyDescent="0.25">
      <c r="A111" t="s">
        <v>143</v>
      </c>
      <c r="B111" t="s">
        <v>12</v>
      </c>
      <c r="C111" t="s">
        <v>13</v>
      </c>
      <c r="D111" t="s">
        <v>137</v>
      </c>
      <c r="E111" t="s">
        <v>138</v>
      </c>
      <c r="F111">
        <v>1.61</v>
      </c>
      <c r="G111">
        <v>53</v>
      </c>
      <c r="H111">
        <v>3.67</v>
      </c>
      <c r="I111">
        <v>1136</v>
      </c>
      <c r="J111">
        <v>46</v>
      </c>
      <c r="K111">
        <v>0.158</v>
      </c>
      <c r="L111">
        <v>0</v>
      </c>
      <c r="M111">
        <v>3</v>
      </c>
      <c r="N111">
        <v>16.7</v>
      </c>
      <c r="O111">
        <v>0.19900000000000001</v>
      </c>
      <c r="P111">
        <v>1</v>
      </c>
      <c r="Q111">
        <v>6</v>
      </c>
      <c r="R111">
        <v>73</v>
      </c>
      <c r="S111">
        <v>67</v>
      </c>
      <c r="T111">
        <v>0.82699999999999996</v>
      </c>
    </row>
    <row r="112" spans="1:20" x14ac:dyDescent="0.25">
      <c r="A112" t="s">
        <v>144</v>
      </c>
      <c r="B112" t="s">
        <v>12</v>
      </c>
      <c r="C112" t="s">
        <v>13</v>
      </c>
      <c r="D112" t="s">
        <v>137</v>
      </c>
      <c r="E112" t="s">
        <v>138</v>
      </c>
      <c r="F112">
        <v>2.17</v>
      </c>
      <c r="G112">
        <v>31.3</v>
      </c>
      <c r="H112">
        <v>4.7</v>
      </c>
      <c r="I112">
        <v>687</v>
      </c>
      <c r="J112">
        <v>0</v>
      </c>
      <c r="K112">
        <v>5.0999999999999996</v>
      </c>
      <c r="L112">
        <v>0</v>
      </c>
      <c r="M112">
        <v>6</v>
      </c>
      <c r="N112">
        <v>107</v>
      </c>
      <c r="O112">
        <v>0.38</v>
      </c>
      <c r="P112">
        <v>2</v>
      </c>
      <c r="Q112">
        <v>6</v>
      </c>
      <c r="R112">
        <v>69</v>
      </c>
      <c r="S112">
        <v>92</v>
      </c>
      <c r="T112">
        <v>1.9</v>
      </c>
    </row>
    <row r="113" spans="1:20" x14ac:dyDescent="0.25">
      <c r="A113" t="s">
        <v>145</v>
      </c>
      <c r="B113" t="s">
        <v>12</v>
      </c>
      <c r="C113" t="s">
        <v>13</v>
      </c>
      <c r="D113" t="s">
        <v>137</v>
      </c>
      <c r="E113" t="s">
        <v>138</v>
      </c>
      <c r="F113">
        <v>2.02</v>
      </c>
      <c r="G113">
        <v>26.6</v>
      </c>
      <c r="H113">
        <v>5.27</v>
      </c>
      <c r="I113">
        <v>383</v>
      </c>
      <c r="J113">
        <v>0</v>
      </c>
      <c r="K113">
        <v>6</v>
      </c>
      <c r="L113">
        <v>0</v>
      </c>
      <c r="M113">
        <v>15</v>
      </c>
      <c r="N113">
        <v>41</v>
      </c>
      <c r="O113">
        <v>0.14599999999999999</v>
      </c>
      <c r="P113">
        <v>3</v>
      </c>
      <c r="Q113">
        <v>5</v>
      </c>
      <c r="R113">
        <v>83</v>
      </c>
      <c r="S113">
        <v>80</v>
      </c>
      <c r="T113">
        <v>1.3</v>
      </c>
    </row>
    <row r="114" spans="1:20" x14ac:dyDescent="0.25">
      <c r="A114" t="s">
        <v>146</v>
      </c>
      <c r="B114" t="s">
        <v>12</v>
      </c>
      <c r="C114" t="s">
        <v>13</v>
      </c>
      <c r="D114" t="s">
        <v>137</v>
      </c>
      <c r="E114" t="s">
        <v>138</v>
      </c>
      <c r="F114">
        <v>2.85</v>
      </c>
      <c r="G114">
        <v>27.2</v>
      </c>
      <c r="H114">
        <v>3.88</v>
      </c>
      <c r="I114">
        <v>127</v>
      </c>
      <c r="J114">
        <v>0</v>
      </c>
      <c r="K114">
        <v>0.52700000000000002</v>
      </c>
      <c r="L114">
        <v>0</v>
      </c>
      <c r="M114">
        <v>0</v>
      </c>
      <c r="N114">
        <v>44</v>
      </c>
      <c r="O114">
        <v>0.221</v>
      </c>
      <c r="P114">
        <v>0</v>
      </c>
      <c r="Q114">
        <v>5</v>
      </c>
      <c r="R114">
        <v>55</v>
      </c>
      <c r="S114">
        <v>45</v>
      </c>
      <c r="T114">
        <v>1.8</v>
      </c>
    </row>
    <row r="115" spans="1:20" x14ac:dyDescent="0.25">
      <c r="A115" t="s">
        <v>147</v>
      </c>
      <c r="B115" t="s">
        <v>12</v>
      </c>
      <c r="C115" t="s">
        <v>13</v>
      </c>
      <c r="D115" t="s">
        <v>137</v>
      </c>
      <c r="E115" t="s">
        <v>138</v>
      </c>
      <c r="F115">
        <v>2</v>
      </c>
      <c r="G115">
        <v>28</v>
      </c>
      <c r="H115">
        <v>5.1100000000000003</v>
      </c>
      <c r="I115">
        <v>514</v>
      </c>
      <c r="J115">
        <v>7.0000000000000007E-2</v>
      </c>
      <c r="K115">
        <v>3.6</v>
      </c>
      <c r="L115">
        <v>0</v>
      </c>
      <c r="M115">
        <v>7</v>
      </c>
      <c r="N115">
        <v>82</v>
      </c>
      <c r="O115">
        <v>0.17399999999999999</v>
      </c>
      <c r="P115">
        <v>1</v>
      </c>
      <c r="Q115">
        <v>5</v>
      </c>
      <c r="R115">
        <v>68</v>
      </c>
      <c r="S115">
        <v>66</v>
      </c>
      <c r="T115">
        <v>1.9</v>
      </c>
    </row>
    <row r="116" spans="1:20" x14ac:dyDescent="0.25">
      <c r="A116" t="s">
        <v>148</v>
      </c>
      <c r="B116" t="s">
        <v>12</v>
      </c>
      <c r="C116" t="s">
        <v>13</v>
      </c>
      <c r="D116" t="s">
        <v>137</v>
      </c>
      <c r="E116" t="s">
        <v>138</v>
      </c>
      <c r="F116">
        <v>1.92</v>
      </c>
      <c r="G116">
        <v>29.6</v>
      </c>
      <c r="H116">
        <v>4.79</v>
      </c>
      <c r="I116">
        <v>408</v>
      </c>
      <c r="J116">
        <v>0.02</v>
      </c>
      <c r="K116">
        <v>12.9</v>
      </c>
      <c r="L116">
        <v>0</v>
      </c>
      <c r="M116">
        <v>8</v>
      </c>
      <c r="N116">
        <v>123</v>
      </c>
      <c r="O116">
        <v>0.54900000000000004</v>
      </c>
      <c r="P116">
        <v>1</v>
      </c>
      <c r="Q116">
        <v>5</v>
      </c>
      <c r="R116">
        <v>69</v>
      </c>
      <c r="S116">
        <v>123</v>
      </c>
      <c r="T116">
        <v>3.4</v>
      </c>
    </row>
    <row r="117" spans="1:20" x14ac:dyDescent="0.25">
      <c r="A117" t="s">
        <v>149</v>
      </c>
      <c r="B117" t="s">
        <v>12</v>
      </c>
      <c r="C117" t="s">
        <v>13</v>
      </c>
      <c r="D117" t="s">
        <v>137</v>
      </c>
      <c r="E117" t="s">
        <v>138</v>
      </c>
      <c r="F117">
        <v>4.49</v>
      </c>
      <c r="G117">
        <v>24.7</v>
      </c>
      <c r="H117">
        <v>3.35</v>
      </c>
      <c r="I117">
        <v>58</v>
      </c>
      <c r="J117">
        <v>0</v>
      </c>
      <c r="K117">
        <v>0.13700000000000001</v>
      </c>
      <c r="L117">
        <v>0</v>
      </c>
      <c r="M117">
        <v>0</v>
      </c>
      <c r="N117">
        <v>37</v>
      </c>
      <c r="O117">
        <v>0.14799999999999999</v>
      </c>
      <c r="P117">
        <v>0</v>
      </c>
      <c r="Q117">
        <v>4</v>
      </c>
      <c r="R117">
        <v>59</v>
      </c>
      <c r="S117">
        <v>40</v>
      </c>
      <c r="T117">
        <v>1.6</v>
      </c>
    </row>
    <row r="118" spans="1:20" x14ac:dyDescent="0.25">
      <c r="A118" t="s">
        <v>150</v>
      </c>
      <c r="B118" t="s">
        <v>12</v>
      </c>
      <c r="C118" t="s">
        <v>13</v>
      </c>
      <c r="D118" t="s">
        <v>137</v>
      </c>
      <c r="E118" t="s">
        <v>138</v>
      </c>
      <c r="F118">
        <v>2.2799999999999998</v>
      </c>
      <c r="G118">
        <v>28.3</v>
      </c>
      <c r="H118">
        <v>4.9800000000000004</v>
      </c>
      <c r="I118">
        <v>214</v>
      </c>
      <c r="J118">
        <v>0</v>
      </c>
      <c r="K118">
        <v>4.5</v>
      </c>
      <c r="L118">
        <v>0</v>
      </c>
      <c r="M118">
        <v>12</v>
      </c>
      <c r="N118">
        <v>32</v>
      </c>
      <c r="O118">
        <v>0.115</v>
      </c>
      <c r="P118">
        <v>2</v>
      </c>
      <c r="Q118">
        <v>3</v>
      </c>
      <c r="R118">
        <v>73</v>
      </c>
      <c r="S118">
        <v>99</v>
      </c>
      <c r="T118">
        <v>1.2</v>
      </c>
    </row>
    <row r="119" spans="1:20" x14ac:dyDescent="0.25">
      <c r="A119" t="s">
        <v>151</v>
      </c>
      <c r="B119" t="s">
        <v>12</v>
      </c>
      <c r="C119" t="s">
        <v>13</v>
      </c>
      <c r="D119" t="s">
        <v>137</v>
      </c>
      <c r="E119" t="s">
        <v>138</v>
      </c>
      <c r="F119">
        <v>2.29</v>
      </c>
      <c r="G119">
        <v>33.1</v>
      </c>
      <c r="H119">
        <v>5.09</v>
      </c>
      <c r="I119">
        <v>349</v>
      </c>
      <c r="J119">
        <v>0</v>
      </c>
      <c r="K119">
        <v>2.9</v>
      </c>
      <c r="L119">
        <v>0</v>
      </c>
      <c r="M119">
        <v>2</v>
      </c>
      <c r="N119">
        <v>112</v>
      </c>
      <c r="O119">
        <v>0.13500000000000001</v>
      </c>
      <c r="P119">
        <v>1</v>
      </c>
      <c r="Q119">
        <v>3</v>
      </c>
      <c r="R119">
        <v>61</v>
      </c>
      <c r="S119">
        <v>65</v>
      </c>
      <c r="T119">
        <v>1.1000000000000001</v>
      </c>
    </row>
    <row r="120" spans="1:20" x14ac:dyDescent="0.25">
      <c r="A120" t="s">
        <v>152</v>
      </c>
      <c r="B120" t="s">
        <v>12</v>
      </c>
      <c r="C120" t="s">
        <v>13</v>
      </c>
      <c r="D120" t="s">
        <v>137</v>
      </c>
      <c r="E120" t="s">
        <v>138</v>
      </c>
      <c r="F120">
        <v>9.6999999999999993</v>
      </c>
      <c r="G120">
        <v>19.8</v>
      </c>
      <c r="H120">
        <v>6.07</v>
      </c>
      <c r="I120">
        <v>102</v>
      </c>
      <c r="J120">
        <v>0.14000000000000001</v>
      </c>
      <c r="K120">
        <v>0</v>
      </c>
      <c r="L120">
        <v>19</v>
      </c>
      <c r="M120">
        <v>7</v>
      </c>
      <c r="N120">
        <v>141</v>
      </c>
      <c r="O120">
        <v>6.0000000000000001E-3</v>
      </c>
      <c r="P120">
        <v>0</v>
      </c>
      <c r="Q120">
        <v>3</v>
      </c>
      <c r="R120">
        <v>22</v>
      </c>
      <c r="S120">
        <v>27</v>
      </c>
      <c r="T120">
        <v>0.20399999999999999</v>
      </c>
    </row>
    <row r="121" spans="1:20" x14ac:dyDescent="0.25">
      <c r="A121" t="s">
        <v>153</v>
      </c>
      <c r="B121" t="s">
        <v>12</v>
      </c>
      <c r="C121" t="s">
        <v>13</v>
      </c>
      <c r="D121" t="s">
        <v>137</v>
      </c>
      <c r="E121" t="s">
        <v>138</v>
      </c>
      <c r="F121">
        <v>5.53</v>
      </c>
      <c r="G121">
        <v>40.4</v>
      </c>
      <c r="H121">
        <v>2.09</v>
      </c>
      <c r="I121">
        <v>133</v>
      </c>
      <c r="J121">
        <v>19.8</v>
      </c>
      <c r="K121">
        <v>0.32500000000000001</v>
      </c>
      <c r="L121">
        <v>0</v>
      </c>
      <c r="M121">
        <v>0</v>
      </c>
      <c r="N121">
        <v>124</v>
      </c>
      <c r="O121">
        <v>6.3E-2</v>
      </c>
      <c r="P121">
        <v>0</v>
      </c>
      <c r="Q121">
        <v>0</v>
      </c>
      <c r="R121">
        <v>7</v>
      </c>
      <c r="S121">
        <v>0</v>
      </c>
      <c r="T121">
        <v>0.42399999999999999</v>
      </c>
    </row>
    <row r="122" spans="1:20" x14ac:dyDescent="0.25">
      <c r="A122" t="s">
        <v>154</v>
      </c>
      <c r="B122" t="s">
        <v>12</v>
      </c>
      <c r="C122" t="s">
        <v>13</v>
      </c>
      <c r="D122" t="s">
        <v>137</v>
      </c>
      <c r="E122" t="s">
        <v>138</v>
      </c>
      <c r="F122">
        <v>4.0999999999999996</v>
      </c>
      <c r="G122">
        <v>28.8</v>
      </c>
      <c r="H122">
        <v>2.23</v>
      </c>
      <c r="I122">
        <v>196</v>
      </c>
      <c r="J122">
        <v>9.9</v>
      </c>
      <c r="K122">
        <v>3.8</v>
      </c>
      <c r="L122">
        <v>0</v>
      </c>
      <c r="M122">
        <v>3</v>
      </c>
      <c r="N122">
        <v>127</v>
      </c>
      <c r="O122">
        <v>0.317</v>
      </c>
      <c r="P122">
        <v>0</v>
      </c>
      <c r="Q122">
        <v>0</v>
      </c>
      <c r="R122">
        <v>9</v>
      </c>
      <c r="S122">
        <v>7</v>
      </c>
      <c r="T122">
        <v>1.3</v>
      </c>
    </row>
    <row r="123" spans="1:20" x14ac:dyDescent="0.25">
      <c r="A123" t="s">
        <v>155</v>
      </c>
      <c r="B123" t="s">
        <v>12</v>
      </c>
      <c r="C123" t="s">
        <v>13</v>
      </c>
      <c r="D123" t="s">
        <v>137</v>
      </c>
      <c r="E123" t="s">
        <v>138</v>
      </c>
      <c r="F123">
        <v>3.18</v>
      </c>
      <c r="G123">
        <v>33.200000000000003</v>
      </c>
      <c r="H123">
        <v>1.76</v>
      </c>
      <c r="I123">
        <v>171</v>
      </c>
      <c r="J123">
        <v>4</v>
      </c>
      <c r="K123">
        <v>1.4</v>
      </c>
      <c r="L123">
        <v>0</v>
      </c>
      <c r="M123">
        <v>0</v>
      </c>
      <c r="N123">
        <v>126</v>
      </c>
      <c r="O123">
        <v>0.29099999999999998</v>
      </c>
      <c r="P123">
        <v>0</v>
      </c>
      <c r="Q123">
        <v>0</v>
      </c>
      <c r="R123">
        <v>8</v>
      </c>
      <c r="S123">
        <v>9</v>
      </c>
      <c r="T123">
        <v>1.6</v>
      </c>
    </row>
    <row r="124" spans="1:20" x14ac:dyDescent="0.25">
      <c r="A124" t="s">
        <v>156</v>
      </c>
      <c r="B124" t="s">
        <v>12</v>
      </c>
      <c r="C124" t="s">
        <v>13</v>
      </c>
      <c r="D124" t="s">
        <v>137</v>
      </c>
      <c r="E124" t="s">
        <v>138</v>
      </c>
      <c r="F124">
        <v>3.86</v>
      </c>
      <c r="G124">
        <v>49</v>
      </c>
      <c r="H124">
        <v>0.87</v>
      </c>
      <c r="I124">
        <v>271</v>
      </c>
      <c r="J124">
        <v>0</v>
      </c>
      <c r="K124">
        <v>0.66200000000000003</v>
      </c>
      <c r="L124">
        <v>0</v>
      </c>
      <c r="M124">
        <v>0</v>
      </c>
      <c r="N124">
        <v>133</v>
      </c>
      <c r="O124">
        <v>0.16900000000000001</v>
      </c>
      <c r="P124">
        <v>0</v>
      </c>
      <c r="Q124">
        <v>0</v>
      </c>
      <c r="R124">
        <v>1</v>
      </c>
      <c r="S124">
        <v>25</v>
      </c>
      <c r="T124">
        <v>0.53100000000000003</v>
      </c>
    </row>
    <row r="125" spans="1:20" x14ac:dyDescent="0.25">
      <c r="A125" t="s">
        <v>157</v>
      </c>
      <c r="B125" t="s">
        <v>12</v>
      </c>
      <c r="C125" t="s">
        <v>13</v>
      </c>
      <c r="D125" t="s">
        <v>137</v>
      </c>
      <c r="E125" t="s">
        <v>138</v>
      </c>
      <c r="F125">
        <v>5.43</v>
      </c>
      <c r="G125">
        <v>39.700000000000003</v>
      </c>
      <c r="H125">
        <v>1.98</v>
      </c>
      <c r="I125">
        <v>101</v>
      </c>
      <c r="J125">
        <v>0.02</v>
      </c>
      <c r="K125">
        <v>1.1000000000000001</v>
      </c>
      <c r="L125">
        <v>0</v>
      </c>
      <c r="M125">
        <v>0</v>
      </c>
      <c r="N125">
        <v>73</v>
      </c>
      <c r="O125">
        <v>6.6000000000000003E-2</v>
      </c>
      <c r="P125">
        <v>0</v>
      </c>
      <c r="Q125">
        <v>0</v>
      </c>
      <c r="R125">
        <v>8</v>
      </c>
      <c r="S125">
        <v>25</v>
      </c>
      <c r="T125">
        <v>0.879</v>
      </c>
    </row>
    <row r="126" spans="1:20" x14ac:dyDescent="0.25">
      <c r="A126" t="s">
        <v>158</v>
      </c>
      <c r="B126" t="s">
        <v>12</v>
      </c>
      <c r="C126" t="s">
        <v>13</v>
      </c>
      <c r="D126" t="s">
        <v>137</v>
      </c>
      <c r="E126" t="s">
        <v>138</v>
      </c>
      <c r="F126">
        <v>5.16</v>
      </c>
      <c r="G126">
        <v>31.1</v>
      </c>
      <c r="H126">
        <v>2.94</v>
      </c>
      <c r="I126">
        <v>168</v>
      </c>
      <c r="J126">
        <v>0.01</v>
      </c>
      <c r="K126">
        <v>0.90400000000000003</v>
      </c>
      <c r="L126">
        <v>0</v>
      </c>
      <c r="M126">
        <v>0</v>
      </c>
      <c r="N126">
        <v>103</v>
      </c>
      <c r="O126">
        <v>6.7000000000000004E-2</v>
      </c>
      <c r="P126">
        <v>0</v>
      </c>
      <c r="Q126">
        <v>0</v>
      </c>
      <c r="R126">
        <v>4</v>
      </c>
      <c r="S126">
        <v>17</v>
      </c>
      <c r="T126">
        <v>1.1000000000000001</v>
      </c>
    </row>
    <row r="127" spans="1:20" x14ac:dyDescent="0.25">
      <c r="A127" t="s">
        <v>159</v>
      </c>
      <c r="B127" t="s">
        <v>12</v>
      </c>
      <c r="C127" t="s">
        <v>13</v>
      </c>
      <c r="D127" t="s">
        <v>137</v>
      </c>
      <c r="E127" t="s">
        <v>138</v>
      </c>
      <c r="F127">
        <v>4.87</v>
      </c>
      <c r="G127">
        <v>35.700000000000003</v>
      </c>
      <c r="H127">
        <v>3.2</v>
      </c>
      <c r="I127">
        <v>173</v>
      </c>
      <c r="J127">
        <v>0.02</v>
      </c>
      <c r="K127">
        <v>0.80500000000000005</v>
      </c>
      <c r="L127">
        <v>0</v>
      </c>
      <c r="M127">
        <v>0</v>
      </c>
      <c r="N127">
        <v>103</v>
      </c>
      <c r="O127">
        <v>5.3999999999999999E-2</v>
      </c>
      <c r="P127">
        <v>0</v>
      </c>
      <c r="Q127">
        <v>0</v>
      </c>
      <c r="R127">
        <v>3</v>
      </c>
      <c r="S127">
        <v>4</v>
      </c>
      <c r="T127">
        <v>0.82299999999999995</v>
      </c>
    </row>
    <row r="128" spans="1:20" x14ac:dyDescent="0.25">
      <c r="A128" t="s">
        <v>160</v>
      </c>
      <c r="B128" t="s">
        <v>12</v>
      </c>
      <c r="C128" t="s">
        <v>13</v>
      </c>
      <c r="D128" t="s">
        <v>137</v>
      </c>
      <c r="E128" t="s">
        <v>138</v>
      </c>
      <c r="F128">
        <v>3.15</v>
      </c>
      <c r="G128">
        <v>59.3</v>
      </c>
      <c r="H128">
        <v>1.51</v>
      </c>
      <c r="I128">
        <v>178</v>
      </c>
      <c r="J128">
        <v>0.6</v>
      </c>
      <c r="K128">
        <v>1.1000000000000001</v>
      </c>
      <c r="L128">
        <v>0</v>
      </c>
      <c r="M128">
        <v>0</v>
      </c>
      <c r="N128">
        <v>174</v>
      </c>
      <c r="O128">
        <v>0.39400000000000002</v>
      </c>
      <c r="P128">
        <v>0</v>
      </c>
      <c r="Q128">
        <v>0</v>
      </c>
      <c r="R128">
        <v>6</v>
      </c>
      <c r="S128">
        <v>49</v>
      </c>
      <c r="T128">
        <v>2.2999999999999998</v>
      </c>
    </row>
    <row r="129" spans="1:20" x14ac:dyDescent="0.25">
      <c r="A129" t="s">
        <v>161</v>
      </c>
      <c r="B129" t="s">
        <v>12</v>
      </c>
      <c r="C129" t="s">
        <v>13</v>
      </c>
      <c r="D129" t="s">
        <v>137</v>
      </c>
      <c r="E129" t="s">
        <v>138</v>
      </c>
      <c r="F129">
        <v>3.31</v>
      </c>
      <c r="G129">
        <v>26</v>
      </c>
      <c r="H129">
        <v>2.71</v>
      </c>
      <c r="I129">
        <v>109</v>
      </c>
      <c r="J129">
        <v>0</v>
      </c>
      <c r="K129">
        <v>0.878</v>
      </c>
      <c r="L129">
        <v>0</v>
      </c>
      <c r="M129">
        <v>0</v>
      </c>
      <c r="N129">
        <v>67</v>
      </c>
      <c r="O129">
        <v>0.19800000000000001</v>
      </c>
      <c r="P129">
        <v>0</v>
      </c>
      <c r="Q129">
        <v>0</v>
      </c>
      <c r="R129">
        <v>4</v>
      </c>
      <c r="S129">
        <v>22</v>
      </c>
      <c r="T129">
        <v>1.8</v>
      </c>
    </row>
    <row r="130" spans="1:20" x14ac:dyDescent="0.25">
      <c r="A130" t="s">
        <v>162</v>
      </c>
      <c r="B130" t="s">
        <v>12</v>
      </c>
      <c r="C130" t="s">
        <v>13</v>
      </c>
      <c r="D130" t="s">
        <v>137</v>
      </c>
      <c r="E130" t="s">
        <v>138</v>
      </c>
      <c r="F130">
        <v>4.2699999999999996</v>
      </c>
      <c r="G130">
        <v>35.4</v>
      </c>
      <c r="H130">
        <v>2.42</v>
      </c>
      <c r="I130">
        <v>183</v>
      </c>
      <c r="J130">
        <v>6.9</v>
      </c>
      <c r="K130">
        <v>1</v>
      </c>
      <c r="L130">
        <v>0</v>
      </c>
      <c r="M130">
        <v>0</v>
      </c>
      <c r="N130">
        <v>96</v>
      </c>
      <c r="O130">
        <v>0.44800000000000001</v>
      </c>
      <c r="P130">
        <v>0</v>
      </c>
      <c r="Q130">
        <v>0</v>
      </c>
      <c r="R130">
        <v>2</v>
      </c>
      <c r="S130">
        <v>0</v>
      </c>
      <c r="T130">
        <v>3.5</v>
      </c>
    </row>
    <row r="131" spans="1:20" x14ac:dyDescent="0.25">
      <c r="A131" t="s">
        <v>163</v>
      </c>
      <c r="B131" t="s">
        <v>12</v>
      </c>
      <c r="C131" t="s">
        <v>13</v>
      </c>
      <c r="D131" t="s">
        <v>137</v>
      </c>
      <c r="E131" t="s">
        <v>138</v>
      </c>
      <c r="F131">
        <v>4.5</v>
      </c>
      <c r="G131">
        <v>29.3</v>
      </c>
      <c r="H131">
        <v>4.1500000000000004</v>
      </c>
      <c r="I131">
        <v>95</v>
      </c>
      <c r="J131">
        <v>0.02</v>
      </c>
      <c r="K131">
        <v>0.71899999999999997</v>
      </c>
      <c r="L131">
        <v>0</v>
      </c>
      <c r="M131">
        <v>0</v>
      </c>
      <c r="N131">
        <v>104</v>
      </c>
      <c r="O131">
        <v>0.214</v>
      </c>
      <c r="P131">
        <v>0</v>
      </c>
      <c r="Q131">
        <v>0</v>
      </c>
      <c r="R131">
        <v>2</v>
      </c>
      <c r="S131">
        <v>3</v>
      </c>
      <c r="T131">
        <v>1.8</v>
      </c>
    </row>
    <row r="132" spans="1:20" x14ac:dyDescent="0.25">
      <c r="A132" t="s">
        <v>23</v>
      </c>
      <c r="B132" t="s">
        <v>191</v>
      </c>
      <c r="C132" t="s">
        <v>20</v>
      </c>
      <c r="D132" t="s">
        <v>24</v>
      </c>
      <c r="E132" t="s">
        <v>22</v>
      </c>
      <c r="F132">
        <v>2</v>
      </c>
      <c r="G132">
        <v>100</v>
      </c>
      <c r="H132">
        <v>5.2</v>
      </c>
      <c r="I132">
        <v>604.49</v>
      </c>
      <c r="J132">
        <v>3.2099999999999997E-2</v>
      </c>
      <c r="K132">
        <v>176.94994600000001</v>
      </c>
      <c r="L132">
        <v>0</v>
      </c>
      <c r="M132">
        <v>601.34221300000002</v>
      </c>
      <c r="N132">
        <v>134.6881247</v>
      </c>
      <c r="O132">
        <v>0.96972901</v>
      </c>
      <c r="P132">
        <v>53.737132289999998</v>
      </c>
      <c r="Q132">
        <v>121.7045662</v>
      </c>
      <c r="R132">
        <v>17.88763909</v>
      </c>
      <c r="S132">
        <v>462.29554669999999</v>
      </c>
      <c r="T132">
        <v>30.97866264</v>
      </c>
    </row>
    <row r="133" spans="1:20" x14ac:dyDescent="0.25">
      <c r="A133" t="s">
        <v>435</v>
      </c>
      <c r="B133" t="s">
        <v>191</v>
      </c>
      <c r="C133" t="s">
        <v>20</v>
      </c>
      <c r="D133" t="s">
        <v>28</v>
      </c>
      <c r="E133" t="s">
        <v>22</v>
      </c>
      <c r="F133">
        <v>6.9</v>
      </c>
      <c r="G133">
        <v>19.399999999999999</v>
      </c>
      <c r="H133">
        <v>7.8</v>
      </c>
      <c r="I133">
        <v>194.8</v>
      </c>
      <c r="J133">
        <v>0</v>
      </c>
      <c r="K133">
        <v>0</v>
      </c>
      <c r="L133">
        <v>0</v>
      </c>
      <c r="M133">
        <v>2.9914644149999998</v>
      </c>
      <c r="N133">
        <v>70.960882940000005</v>
      </c>
      <c r="O133">
        <v>3.0564486309999999</v>
      </c>
      <c r="P133">
        <v>19.786543550000001</v>
      </c>
      <c r="Q133">
        <v>20.256121700000001</v>
      </c>
      <c r="R133">
        <v>1.936035551</v>
      </c>
      <c r="S133">
        <v>229.07363359999999</v>
      </c>
      <c r="T133">
        <v>49.929746530000003</v>
      </c>
    </row>
    <row r="134" spans="1:20" x14ac:dyDescent="0.25">
      <c r="A134" t="s">
        <v>436</v>
      </c>
      <c r="B134" t="s">
        <v>191</v>
      </c>
      <c r="C134" t="s">
        <v>20</v>
      </c>
      <c r="D134" t="s">
        <v>28</v>
      </c>
      <c r="E134" t="s">
        <v>22</v>
      </c>
      <c r="F134">
        <v>6.6</v>
      </c>
      <c r="G134">
        <v>42.6</v>
      </c>
      <c r="H134">
        <v>6.5</v>
      </c>
      <c r="I134">
        <v>142.71</v>
      </c>
      <c r="J134">
        <v>0.23527999999999999</v>
      </c>
      <c r="K134">
        <v>5.0291667850000001</v>
      </c>
      <c r="L134">
        <v>0</v>
      </c>
      <c r="M134">
        <v>1.6422659580000001</v>
      </c>
      <c r="N134">
        <v>65.430478910000005</v>
      </c>
      <c r="O134">
        <v>2.9467157570000002</v>
      </c>
      <c r="P134">
        <v>19.846279450000001</v>
      </c>
      <c r="Q134">
        <v>18.74960033</v>
      </c>
      <c r="R134">
        <v>0</v>
      </c>
      <c r="S134">
        <v>598.57711080000001</v>
      </c>
      <c r="T134">
        <v>39.331517699999999</v>
      </c>
    </row>
    <row r="135" spans="1:20" x14ac:dyDescent="0.25">
      <c r="A135" t="s">
        <v>32</v>
      </c>
      <c r="B135" t="s">
        <v>191</v>
      </c>
      <c r="C135" t="s">
        <v>20</v>
      </c>
      <c r="D135" t="s">
        <v>24</v>
      </c>
      <c r="E135" t="s">
        <v>22</v>
      </c>
      <c r="F135">
        <v>8.4</v>
      </c>
      <c r="G135">
        <v>19</v>
      </c>
      <c r="H135">
        <v>8.3000000000000007</v>
      </c>
      <c r="I135">
        <v>90.043000000000006</v>
      </c>
      <c r="J135">
        <v>0</v>
      </c>
      <c r="K135">
        <v>0</v>
      </c>
      <c r="L135">
        <v>0</v>
      </c>
      <c r="M135">
        <v>1.5290507870000001</v>
      </c>
      <c r="N135">
        <v>74.75964037</v>
      </c>
      <c r="O135">
        <v>0.461805136</v>
      </c>
      <c r="P135">
        <v>8.0765909659999995</v>
      </c>
      <c r="Q135">
        <v>5.6920144910000001</v>
      </c>
      <c r="R135">
        <v>0</v>
      </c>
      <c r="S135">
        <v>398.7515914</v>
      </c>
      <c r="T135">
        <v>49.998545749999998</v>
      </c>
    </row>
    <row r="136" spans="1:20" x14ac:dyDescent="0.25">
      <c r="A136" t="s">
        <v>35</v>
      </c>
      <c r="B136" t="s">
        <v>191</v>
      </c>
      <c r="C136" t="s">
        <v>20</v>
      </c>
      <c r="D136" t="s">
        <v>24</v>
      </c>
      <c r="E136" t="s">
        <v>22</v>
      </c>
      <c r="F136">
        <v>4.7</v>
      </c>
      <c r="G136">
        <v>30.2</v>
      </c>
      <c r="H136">
        <v>4</v>
      </c>
      <c r="I136">
        <v>43.017499999999998</v>
      </c>
      <c r="J136">
        <v>5.3379999999999997E-2</v>
      </c>
      <c r="K136">
        <v>10.35252696</v>
      </c>
      <c r="L136">
        <v>0</v>
      </c>
      <c r="M136">
        <v>0.60701011100000002</v>
      </c>
      <c r="N136">
        <v>99.371921389999997</v>
      </c>
      <c r="O136">
        <v>1.5931812219999999</v>
      </c>
      <c r="P136">
        <v>1.3255762</v>
      </c>
      <c r="Q136">
        <v>1.4053928520000001</v>
      </c>
      <c r="R136">
        <v>0</v>
      </c>
      <c r="S136">
        <v>35.127065219999999</v>
      </c>
      <c r="T136">
        <v>12.597513810000001</v>
      </c>
    </row>
    <row r="137" spans="1:20" x14ac:dyDescent="0.25">
      <c r="A137" t="s">
        <v>52</v>
      </c>
      <c r="B137" t="s">
        <v>191</v>
      </c>
      <c r="C137" t="s">
        <v>20</v>
      </c>
      <c r="D137" t="s">
        <v>24</v>
      </c>
      <c r="E137" t="s">
        <v>22</v>
      </c>
      <c r="F137">
        <v>7.3</v>
      </c>
      <c r="G137">
        <v>12.75</v>
      </c>
      <c r="H137">
        <v>7.6</v>
      </c>
      <c r="I137">
        <v>4.5930499999999999</v>
      </c>
      <c r="J137">
        <v>0</v>
      </c>
      <c r="K137">
        <v>0</v>
      </c>
      <c r="L137">
        <v>0</v>
      </c>
      <c r="M137">
        <v>4.1185163469999999</v>
      </c>
      <c r="N137">
        <v>8.308346555</v>
      </c>
      <c r="O137">
        <v>1.8360430000000001E-3</v>
      </c>
      <c r="P137">
        <v>0</v>
      </c>
      <c r="Q137">
        <v>0</v>
      </c>
      <c r="R137">
        <v>0</v>
      </c>
      <c r="S137">
        <v>722.26798040000006</v>
      </c>
      <c r="T137">
        <v>7.05435327</v>
      </c>
    </row>
    <row r="138" spans="1:20" x14ac:dyDescent="0.25">
      <c r="A138" t="s">
        <v>438</v>
      </c>
      <c r="B138" t="s">
        <v>191</v>
      </c>
      <c r="C138" t="s">
        <v>20</v>
      </c>
      <c r="D138" t="s">
        <v>28</v>
      </c>
      <c r="E138" t="s">
        <v>22</v>
      </c>
      <c r="F138">
        <v>7.4</v>
      </c>
      <c r="G138">
        <v>29.8</v>
      </c>
      <c r="H138">
        <v>9.8000000000000007</v>
      </c>
      <c r="I138">
        <v>38.481000000000002</v>
      </c>
      <c r="J138">
        <v>0.10704</v>
      </c>
      <c r="K138">
        <v>0</v>
      </c>
      <c r="L138">
        <v>0</v>
      </c>
      <c r="M138">
        <v>1.583414468</v>
      </c>
      <c r="N138">
        <v>61.603236240000001</v>
      </c>
      <c r="O138">
        <v>0.133899878</v>
      </c>
      <c r="P138">
        <v>0.30216980700000001</v>
      </c>
      <c r="Q138">
        <v>0</v>
      </c>
      <c r="R138">
        <v>0</v>
      </c>
      <c r="S138">
        <v>97.587684379999999</v>
      </c>
      <c r="T138">
        <v>19.851051009999999</v>
      </c>
    </row>
    <row r="139" spans="1:20" x14ac:dyDescent="0.25">
      <c r="A139" t="s">
        <v>116</v>
      </c>
      <c r="B139" t="s">
        <v>191</v>
      </c>
      <c r="C139" t="s">
        <v>20</v>
      </c>
      <c r="D139" t="s">
        <v>117</v>
      </c>
      <c r="E139" t="s">
        <v>118</v>
      </c>
      <c r="F139">
        <v>2.4</v>
      </c>
      <c r="G139">
        <v>55.2</v>
      </c>
      <c r="H139">
        <v>0.5</v>
      </c>
      <c r="I139">
        <v>103.932</v>
      </c>
      <c r="J139">
        <v>1.7346999999999999</v>
      </c>
      <c r="K139">
        <v>3.3395711800000001</v>
      </c>
      <c r="L139">
        <v>0</v>
      </c>
      <c r="M139">
        <v>14.44221005</v>
      </c>
      <c r="N139">
        <v>77.805557730000004</v>
      </c>
      <c r="O139">
        <v>0.18799991099999999</v>
      </c>
      <c r="P139">
        <v>0.94381574700000004</v>
      </c>
      <c r="Q139">
        <v>0.75859728100000001</v>
      </c>
      <c r="R139">
        <v>0</v>
      </c>
      <c r="S139">
        <v>2131.7505879999999</v>
      </c>
      <c r="T139">
        <v>3.3383205079999998</v>
      </c>
    </row>
    <row r="140" spans="1:20" x14ac:dyDescent="0.25">
      <c r="A140" t="s">
        <v>120</v>
      </c>
      <c r="B140" t="s">
        <v>191</v>
      </c>
      <c r="C140" t="s">
        <v>20</v>
      </c>
      <c r="D140" t="s">
        <v>117</v>
      </c>
      <c r="E140" t="s">
        <v>118</v>
      </c>
      <c r="F140">
        <v>2.5</v>
      </c>
      <c r="G140">
        <v>43.1</v>
      </c>
      <c r="H140">
        <v>3.9</v>
      </c>
      <c r="I140">
        <v>104.282</v>
      </c>
      <c r="J140">
        <v>0</v>
      </c>
      <c r="K140">
        <v>3.5993759700000001</v>
      </c>
      <c r="L140">
        <v>0</v>
      </c>
      <c r="M140">
        <v>15.696654540000001</v>
      </c>
      <c r="N140">
        <v>84.702099770000004</v>
      </c>
      <c r="O140">
        <v>0.20085397399999999</v>
      </c>
      <c r="P140">
        <v>1.058652862</v>
      </c>
      <c r="Q140">
        <v>0</v>
      </c>
      <c r="R140">
        <v>0</v>
      </c>
      <c r="S140">
        <v>182.70543710000001</v>
      </c>
      <c r="T140">
        <v>3.5092633210000002</v>
      </c>
    </row>
    <row r="141" spans="1:20" x14ac:dyDescent="0.25">
      <c r="A141" s="21" t="s">
        <v>439</v>
      </c>
    </row>
  </sheetData>
  <autoFilter ref="A1:T140" xr:uid="{B22B5F70-56DA-2942-A122-B82FB477B5B6}">
    <sortState xmlns:xlrd2="http://schemas.microsoft.com/office/spreadsheetml/2017/richdata2" ref="A2:T140">
      <sortCondition ref="B1:B14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CCABC-6429-FD4A-BE45-FAC7A274249A}">
  <dimension ref="A1:V180"/>
  <sheetViews>
    <sheetView zoomScaleNormal="100" workbookViewId="0">
      <selection activeCell="L16" sqref="L16"/>
    </sheetView>
  </sheetViews>
  <sheetFormatPr defaultColWidth="11" defaultRowHeight="15.75" x14ac:dyDescent="0.25"/>
  <cols>
    <col min="1" max="1" width="29.5" bestFit="1" customWidth="1"/>
    <col min="2" max="2" width="17.375" bestFit="1" customWidth="1"/>
    <col min="3" max="3" width="21.625" bestFit="1" customWidth="1"/>
    <col min="4" max="4" width="18.5" bestFit="1" customWidth="1"/>
    <col min="5" max="5" width="12.125" bestFit="1" customWidth="1"/>
    <col min="6" max="6" width="12.5" bestFit="1" customWidth="1"/>
    <col min="7" max="7" width="14.5" bestFit="1" customWidth="1"/>
    <col min="8" max="8" width="11.875" bestFit="1" customWidth="1"/>
    <col min="9" max="9" width="10.375" bestFit="1" customWidth="1"/>
    <col min="10" max="10" width="12.125" bestFit="1" customWidth="1"/>
    <col min="11" max="11" width="13.125" bestFit="1" customWidth="1"/>
    <col min="12" max="12" width="13" bestFit="1" customWidth="1"/>
    <col min="16" max="17" width="11" customWidth="1"/>
    <col min="18" max="18" width="13.125" bestFit="1" customWidth="1"/>
  </cols>
  <sheetData>
    <row r="1" spans="1:22" s="12" customFormat="1" x14ac:dyDescent="0.25">
      <c r="A1" s="12" t="s">
        <v>1</v>
      </c>
      <c r="B1" s="12" t="s">
        <v>0</v>
      </c>
      <c r="C1" s="12" t="s">
        <v>177</v>
      </c>
      <c r="D1" s="12" t="s">
        <v>3</v>
      </c>
      <c r="E1" s="12" t="s">
        <v>178</v>
      </c>
      <c r="F1" s="12" t="s">
        <v>192</v>
      </c>
      <c r="G1" s="12" t="s">
        <v>193</v>
      </c>
      <c r="H1" s="12" t="s">
        <v>179</v>
      </c>
      <c r="I1" s="12" t="s">
        <v>180</v>
      </c>
      <c r="J1" s="12" t="s">
        <v>183</v>
      </c>
      <c r="K1" s="12" t="s">
        <v>194</v>
      </c>
      <c r="L1" s="12" t="s">
        <v>195</v>
      </c>
      <c r="M1" s="12" t="s">
        <v>181</v>
      </c>
      <c r="N1" s="12" t="s">
        <v>182</v>
      </c>
      <c r="O1" s="12" t="s">
        <v>185</v>
      </c>
      <c r="P1" s="12" t="s">
        <v>186</v>
      </c>
      <c r="Q1" s="12" t="s">
        <v>196</v>
      </c>
      <c r="R1" s="12" t="s">
        <v>197</v>
      </c>
      <c r="S1" s="12" t="s">
        <v>184</v>
      </c>
    </row>
    <row r="2" spans="1:22" x14ac:dyDescent="0.25">
      <c r="A2" t="s">
        <v>198</v>
      </c>
      <c r="B2" t="s">
        <v>199</v>
      </c>
      <c r="C2" t="s">
        <v>187</v>
      </c>
      <c r="D2" t="s">
        <v>20</v>
      </c>
      <c r="H2">
        <v>1.22</v>
      </c>
      <c r="U2" s="1" t="s">
        <v>200</v>
      </c>
      <c r="V2" s="2"/>
    </row>
    <row r="3" spans="1:22" x14ac:dyDescent="0.25">
      <c r="A3" t="s">
        <v>198</v>
      </c>
      <c r="B3" t="s">
        <v>201</v>
      </c>
      <c r="C3" t="s">
        <v>187</v>
      </c>
      <c r="D3" t="s">
        <v>20</v>
      </c>
      <c r="H3">
        <v>0.71</v>
      </c>
      <c r="U3" s="3" t="s">
        <v>202</v>
      </c>
      <c r="V3" s="4" t="s">
        <v>7</v>
      </c>
    </row>
    <row r="4" spans="1:22" x14ac:dyDescent="0.25">
      <c r="A4" t="s">
        <v>198</v>
      </c>
      <c r="B4" t="s">
        <v>203</v>
      </c>
      <c r="C4" t="s">
        <v>187</v>
      </c>
      <c r="D4" t="s">
        <v>20</v>
      </c>
      <c r="H4">
        <v>1.04</v>
      </c>
      <c r="U4" s="5">
        <v>71.843999999999994</v>
      </c>
      <c r="V4" s="6">
        <v>55.844999999999999</v>
      </c>
    </row>
    <row r="5" spans="1:22" x14ac:dyDescent="0.25">
      <c r="A5" t="s">
        <v>198</v>
      </c>
      <c r="B5" t="s">
        <v>204</v>
      </c>
      <c r="C5" t="s">
        <v>187</v>
      </c>
      <c r="D5" t="s">
        <v>20</v>
      </c>
      <c r="H5">
        <v>0.48</v>
      </c>
      <c r="U5" s="5"/>
      <c r="V5" s="6"/>
    </row>
    <row r="6" spans="1:22" x14ac:dyDescent="0.25">
      <c r="A6" t="s">
        <v>198</v>
      </c>
      <c r="B6" t="s">
        <v>205</v>
      </c>
      <c r="C6" t="s">
        <v>187</v>
      </c>
      <c r="D6" t="s">
        <v>20</v>
      </c>
      <c r="H6">
        <v>0.7</v>
      </c>
      <c r="U6" s="7">
        <v>0.77730916986804743</v>
      </c>
      <c r="V6" s="8"/>
    </row>
    <row r="7" spans="1:22" x14ac:dyDescent="0.25">
      <c r="A7" t="s">
        <v>198</v>
      </c>
      <c r="B7" t="s">
        <v>206</v>
      </c>
      <c r="C7" t="s">
        <v>187</v>
      </c>
      <c r="D7" t="s">
        <v>20</v>
      </c>
      <c r="H7">
        <v>1.36</v>
      </c>
      <c r="U7" s="5" t="s">
        <v>207</v>
      </c>
      <c r="V7" s="6" t="s">
        <v>7</v>
      </c>
    </row>
    <row r="8" spans="1:22" x14ac:dyDescent="0.25">
      <c r="A8" t="s">
        <v>198</v>
      </c>
      <c r="B8" t="s">
        <v>208</v>
      </c>
      <c r="C8" t="s">
        <v>187</v>
      </c>
      <c r="D8" t="s">
        <v>20</v>
      </c>
      <c r="H8">
        <v>2</v>
      </c>
      <c r="U8" s="5">
        <v>159.69999999999999</v>
      </c>
      <c r="V8" s="6">
        <v>55.844999999999999</v>
      </c>
    </row>
    <row r="9" spans="1:22" x14ac:dyDescent="0.25">
      <c r="A9" t="s">
        <v>198</v>
      </c>
      <c r="B9" t="s">
        <v>209</v>
      </c>
      <c r="C9" t="s">
        <v>187</v>
      </c>
      <c r="D9" t="s">
        <v>20</v>
      </c>
      <c r="H9">
        <v>0.53</v>
      </c>
      <c r="U9" s="5"/>
      <c r="V9" s="6"/>
    </row>
    <row r="10" spans="1:22" x14ac:dyDescent="0.25">
      <c r="A10" t="s">
        <v>198</v>
      </c>
      <c r="B10" t="s">
        <v>210</v>
      </c>
      <c r="C10" t="s">
        <v>187</v>
      </c>
      <c r="D10" t="s">
        <v>20</v>
      </c>
      <c r="H10">
        <v>0.65</v>
      </c>
      <c r="U10" s="7">
        <v>0.34968691296180338</v>
      </c>
      <c r="V10" s="8"/>
    </row>
    <row r="11" spans="1:22" x14ac:dyDescent="0.25">
      <c r="A11" t="s">
        <v>198</v>
      </c>
      <c r="B11" t="s">
        <v>211</v>
      </c>
      <c r="C11" t="s">
        <v>187</v>
      </c>
      <c r="D11" t="s">
        <v>20</v>
      </c>
      <c r="H11">
        <v>0.65</v>
      </c>
      <c r="U11" s="5" t="s">
        <v>212</v>
      </c>
      <c r="V11" s="6" t="s">
        <v>9</v>
      </c>
    </row>
    <row r="12" spans="1:22" x14ac:dyDescent="0.25">
      <c r="A12" t="s">
        <v>198</v>
      </c>
      <c r="B12" t="s">
        <v>213</v>
      </c>
      <c r="C12" t="s">
        <v>187</v>
      </c>
      <c r="D12" t="s">
        <v>20</v>
      </c>
      <c r="H12">
        <v>1.05</v>
      </c>
      <c r="U12" s="5">
        <v>81.38</v>
      </c>
      <c r="V12" s="6">
        <v>65.38</v>
      </c>
    </row>
    <row r="13" spans="1:22" x14ac:dyDescent="0.25">
      <c r="A13" t="s">
        <v>198</v>
      </c>
      <c r="B13" t="s">
        <v>214</v>
      </c>
      <c r="C13" t="s">
        <v>187</v>
      </c>
      <c r="D13" t="s">
        <v>20</v>
      </c>
      <c r="H13">
        <v>0.33</v>
      </c>
      <c r="U13" s="5"/>
      <c r="V13" s="6"/>
    </row>
    <row r="14" spans="1:22" x14ac:dyDescent="0.25">
      <c r="A14" t="s">
        <v>198</v>
      </c>
      <c r="B14" t="s">
        <v>215</v>
      </c>
      <c r="C14" t="s">
        <v>187</v>
      </c>
      <c r="D14" t="s">
        <v>20</v>
      </c>
      <c r="H14">
        <v>0.78</v>
      </c>
      <c r="U14" s="5">
        <f>V12/U12</f>
        <v>0.80339149668223153</v>
      </c>
      <c r="V14" s="6"/>
    </row>
    <row r="15" spans="1:22" x14ac:dyDescent="0.25">
      <c r="A15" t="s">
        <v>198</v>
      </c>
      <c r="B15" t="s">
        <v>216</v>
      </c>
      <c r="C15" t="s">
        <v>187</v>
      </c>
      <c r="D15" t="s">
        <v>20</v>
      </c>
      <c r="H15">
        <v>1.18</v>
      </c>
      <c r="U15" s="3" t="s">
        <v>217</v>
      </c>
      <c r="V15" s="4" t="s">
        <v>8</v>
      </c>
    </row>
    <row r="16" spans="1:22" x14ac:dyDescent="0.25">
      <c r="A16" t="s">
        <v>198</v>
      </c>
      <c r="B16" t="s">
        <v>218</v>
      </c>
      <c r="C16" t="s">
        <v>187</v>
      </c>
      <c r="D16" t="s">
        <v>20</v>
      </c>
      <c r="H16">
        <v>2.15</v>
      </c>
      <c r="U16" s="5">
        <v>70.94</v>
      </c>
      <c r="V16" s="6">
        <v>54.94</v>
      </c>
    </row>
    <row r="17" spans="1:22" x14ac:dyDescent="0.25">
      <c r="A17" t="s">
        <v>198</v>
      </c>
      <c r="B17" t="s">
        <v>219</v>
      </c>
      <c r="C17" t="s">
        <v>187</v>
      </c>
      <c r="D17" t="s">
        <v>20</v>
      </c>
      <c r="H17">
        <v>1.06</v>
      </c>
      <c r="U17" s="5"/>
      <c r="V17" s="6"/>
    </row>
    <row r="18" spans="1:22" x14ac:dyDescent="0.25">
      <c r="A18" t="s">
        <v>198</v>
      </c>
      <c r="B18" t="s">
        <v>220</v>
      </c>
      <c r="C18" t="s">
        <v>187</v>
      </c>
      <c r="D18" t="s">
        <v>20</v>
      </c>
      <c r="H18">
        <v>1.1100000000000001</v>
      </c>
      <c r="U18" s="5">
        <v>0.77445728784888634</v>
      </c>
      <c r="V18" s="6"/>
    </row>
    <row r="19" spans="1:22" x14ac:dyDescent="0.25">
      <c r="A19" t="s">
        <v>198</v>
      </c>
      <c r="B19" t="s">
        <v>221</v>
      </c>
      <c r="C19" t="s">
        <v>187</v>
      </c>
      <c r="D19" t="s">
        <v>20</v>
      </c>
      <c r="H19">
        <v>1.18</v>
      </c>
      <c r="U19" s="3" t="s">
        <v>222</v>
      </c>
      <c r="V19" s="4" t="s">
        <v>10</v>
      </c>
    </row>
    <row r="20" spans="1:22" x14ac:dyDescent="0.25">
      <c r="A20" t="s">
        <v>198</v>
      </c>
      <c r="B20" t="s">
        <v>223</v>
      </c>
      <c r="C20" t="s">
        <v>187</v>
      </c>
      <c r="D20" t="s">
        <v>20</v>
      </c>
      <c r="H20">
        <v>1.24</v>
      </c>
      <c r="U20" s="5">
        <v>40.304400000000001</v>
      </c>
      <c r="V20" s="6">
        <v>24.305</v>
      </c>
    </row>
    <row r="21" spans="1:22" x14ac:dyDescent="0.25">
      <c r="A21" t="s">
        <v>198</v>
      </c>
      <c r="B21" t="s">
        <v>224</v>
      </c>
      <c r="C21" t="s">
        <v>187</v>
      </c>
      <c r="D21" t="s">
        <v>20</v>
      </c>
      <c r="H21">
        <v>0.95</v>
      </c>
      <c r="U21" s="5"/>
      <c r="V21" s="6"/>
    </row>
    <row r="22" spans="1:22" x14ac:dyDescent="0.25">
      <c r="A22" t="s">
        <v>198</v>
      </c>
      <c r="B22" t="s">
        <v>225</v>
      </c>
      <c r="C22" t="s">
        <v>187</v>
      </c>
      <c r="D22" t="s">
        <v>20</v>
      </c>
      <c r="H22">
        <v>1.19</v>
      </c>
      <c r="U22" s="7">
        <f>V20/U20</f>
        <v>0.60303589682516046</v>
      </c>
      <c r="V22" s="8"/>
    </row>
    <row r="23" spans="1:22" x14ac:dyDescent="0.25">
      <c r="A23" t="s">
        <v>198</v>
      </c>
      <c r="B23" t="s">
        <v>226</v>
      </c>
      <c r="C23" t="s">
        <v>187</v>
      </c>
      <c r="D23" t="s">
        <v>20</v>
      </c>
      <c r="H23">
        <v>1.1299999999999999</v>
      </c>
    </row>
    <row r="24" spans="1:22" x14ac:dyDescent="0.25">
      <c r="A24" t="s">
        <v>198</v>
      </c>
      <c r="B24" t="s">
        <v>227</v>
      </c>
      <c r="C24" t="s">
        <v>187</v>
      </c>
      <c r="D24" t="s">
        <v>20</v>
      </c>
      <c r="H24">
        <v>0.84</v>
      </c>
    </row>
    <row r="25" spans="1:22" x14ac:dyDescent="0.25">
      <c r="A25" t="s">
        <v>198</v>
      </c>
      <c r="B25" t="s">
        <v>228</v>
      </c>
      <c r="C25" t="s">
        <v>187</v>
      </c>
      <c r="D25" t="s">
        <v>20</v>
      </c>
      <c r="H25">
        <v>1.39</v>
      </c>
    </row>
    <row r="26" spans="1:22" x14ac:dyDescent="0.25">
      <c r="A26" t="s">
        <v>198</v>
      </c>
      <c r="B26" t="s">
        <v>229</v>
      </c>
      <c r="C26" t="s">
        <v>187</v>
      </c>
      <c r="D26" t="s">
        <v>20</v>
      </c>
      <c r="H26">
        <v>0.7</v>
      </c>
    </row>
    <row r="27" spans="1:22" x14ac:dyDescent="0.25">
      <c r="A27" t="s">
        <v>198</v>
      </c>
      <c r="B27" t="s">
        <v>230</v>
      </c>
      <c r="C27" t="s">
        <v>187</v>
      </c>
      <c r="D27" t="s">
        <v>20</v>
      </c>
      <c r="H27">
        <v>1.03</v>
      </c>
    </row>
    <row r="28" spans="1:22" x14ac:dyDescent="0.25">
      <c r="A28" t="s">
        <v>198</v>
      </c>
      <c r="B28" t="s">
        <v>231</v>
      </c>
      <c r="C28" t="s">
        <v>187</v>
      </c>
      <c r="D28" t="s">
        <v>20</v>
      </c>
      <c r="H28">
        <v>0.79</v>
      </c>
    </row>
    <row r="29" spans="1:22" x14ac:dyDescent="0.25">
      <c r="A29" t="s">
        <v>198</v>
      </c>
      <c r="B29" t="s">
        <v>232</v>
      </c>
      <c r="C29" t="s">
        <v>187</v>
      </c>
      <c r="D29" t="s">
        <v>20</v>
      </c>
      <c r="H29">
        <v>0.69</v>
      </c>
    </row>
    <row r="30" spans="1:22" x14ac:dyDescent="0.25">
      <c r="A30" t="s">
        <v>198</v>
      </c>
      <c r="B30" t="s">
        <v>233</v>
      </c>
      <c r="C30" t="s">
        <v>187</v>
      </c>
      <c r="D30" t="s">
        <v>20</v>
      </c>
      <c r="H30">
        <v>0.97</v>
      </c>
    </row>
    <row r="31" spans="1:22" x14ac:dyDescent="0.25">
      <c r="A31" t="s">
        <v>198</v>
      </c>
      <c r="B31" t="s">
        <v>234</v>
      </c>
      <c r="C31" t="s">
        <v>187</v>
      </c>
      <c r="D31" t="s">
        <v>20</v>
      </c>
      <c r="H31">
        <v>1.36</v>
      </c>
    </row>
    <row r="32" spans="1:22" x14ac:dyDescent="0.25">
      <c r="A32" t="s">
        <v>198</v>
      </c>
      <c r="B32" t="s">
        <v>235</v>
      </c>
      <c r="C32" t="s">
        <v>187</v>
      </c>
      <c r="D32" t="s">
        <v>20</v>
      </c>
      <c r="H32">
        <v>0.89</v>
      </c>
    </row>
    <row r="33" spans="1:8" x14ac:dyDescent="0.25">
      <c r="A33" t="s">
        <v>198</v>
      </c>
      <c r="B33" t="s">
        <v>236</v>
      </c>
      <c r="C33" t="s">
        <v>187</v>
      </c>
      <c r="D33" t="s">
        <v>20</v>
      </c>
      <c r="H33">
        <v>1.07</v>
      </c>
    </row>
    <row r="34" spans="1:8" x14ac:dyDescent="0.25">
      <c r="A34" t="s">
        <v>198</v>
      </c>
      <c r="B34" t="s">
        <v>237</v>
      </c>
      <c r="C34" t="s">
        <v>238</v>
      </c>
      <c r="D34" t="s">
        <v>20</v>
      </c>
      <c r="H34">
        <v>7.0000000000000007E-2</v>
      </c>
    </row>
    <row r="35" spans="1:8" x14ac:dyDescent="0.25">
      <c r="A35" t="s">
        <v>198</v>
      </c>
      <c r="B35" t="s">
        <v>239</v>
      </c>
      <c r="C35" t="s">
        <v>240</v>
      </c>
      <c r="D35" t="s">
        <v>20</v>
      </c>
      <c r="H35">
        <v>0.71</v>
      </c>
    </row>
    <row r="36" spans="1:8" x14ac:dyDescent="0.25">
      <c r="A36" t="s">
        <v>198</v>
      </c>
      <c r="B36" t="s">
        <v>241</v>
      </c>
      <c r="C36" t="s">
        <v>242</v>
      </c>
      <c r="D36" t="s">
        <v>20</v>
      </c>
      <c r="H36">
        <v>0.63</v>
      </c>
    </row>
    <row r="37" spans="1:8" x14ac:dyDescent="0.25">
      <c r="A37" t="s">
        <v>198</v>
      </c>
      <c r="B37" t="s">
        <v>243</v>
      </c>
      <c r="C37" t="s">
        <v>244</v>
      </c>
      <c r="D37" t="s">
        <v>20</v>
      </c>
      <c r="H37">
        <v>1.79</v>
      </c>
    </row>
    <row r="38" spans="1:8" x14ac:dyDescent="0.25">
      <c r="A38" t="s">
        <v>198</v>
      </c>
      <c r="B38" t="s">
        <v>245</v>
      </c>
      <c r="C38" t="s">
        <v>244</v>
      </c>
      <c r="D38" t="s">
        <v>20</v>
      </c>
      <c r="H38">
        <v>1.1599999999999999</v>
      </c>
    </row>
    <row r="39" spans="1:8" x14ac:dyDescent="0.25">
      <c r="A39" t="s">
        <v>198</v>
      </c>
      <c r="B39" t="s">
        <v>246</v>
      </c>
      <c r="C39" t="s">
        <v>247</v>
      </c>
      <c r="D39" t="s">
        <v>20</v>
      </c>
      <c r="H39">
        <v>1.06</v>
      </c>
    </row>
    <row r="40" spans="1:8" x14ac:dyDescent="0.25">
      <c r="A40" t="s">
        <v>198</v>
      </c>
      <c r="B40" t="s">
        <v>248</v>
      </c>
      <c r="C40" t="s">
        <v>62</v>
      </c>
      <c r="D40" t="s">
        <v>20</v>
      </c>
      <c r="H40">
        <v>3.59</v>
      </c>
    </row>
    <row r="41" spans="1:8" x14ac:dyDescent="0.25">
      <c r="A41" t="s">
        <v>198</v>
      </c>
      <c r="B41" t="s">
        <v>249</v>
      </c>
      <c r="C41" t="s">
        <v>62</v>
      </c>
      <c r="D41" t="s">
        <v>20</v>
      </c>
      <c r="H41">
        <v>3.52</v>
      </c>
    </row>
    <row r="42" spans="1:8" x14ac:dyDescent="0.25">
      <c r="A42" t="s">
        <v>198</v>
      </c>
      <c r="B42" t="s">
        <v>250</v>
      </c>
      <c r="C42" t="s">
        <v>62</v>
      </c>
      <c r="D42" t="s">
        <v>20</v>
      </c>
      <c r="H42">
        <v>3.66</v>
      </c>
    </row>
    <row r="43" spans="1:8" x14ac:dyDescent="0.25">
      <c r="A43" t="s">
        <v>198</v>
      </c>
      <c r="B43" s="9">
        <v>9701235</v>
      </c>
      <c r="C43" t="s">
        <v>251</v>
      </c>
      <c r="D43" t="s">
        <v>20</v>
      </c>
      <c r="H43">
        <v>0.03</v>
      </c>
    </row>
    <row r="44" spans="1:8" x14ac:dyDescent="0.25">
      <c r="A44" t="s">
        <v>198</v>
      </c>
      <c r="B44" t="s">
        <v>252</v>
      </c>
      <c r="C44" t="s">
        <v>251</v>
      </c>
      <c r="D44" t="s">
        <v>20</v>
      </c>
      <c r="H44">
        <v>0.08</v>
      </c>
    </row>
    <row r="45" spans="1:8" x14ac:dyDescent="0.25">
      <c r="A45" t="s">
        <v>198</v>
      </c>
      <c r="B45" t="s">
        <v>253</v>
      </c>
      <c r="C45" t="s">
        <v>251</v>
      </c>
      <c r="D45" t="s">
        <v>20</v>
      </c>
      <c r="H45">
        <v>0.53</v>
      </c>
    </row>
    <row r="46" spans="1:8" x14ac:dyDescent="0.25">
      <c r="A46" t="s">
        <v>198</v>
      </c>
      <c r="B46" t="s">
        <v>254</v>
      </c>
      <c r="C46" t="s">
        <v>251</v>
      </c>
      <c r="D46" t="s">
        <v>20</v>
      </c>
      <c r="H46">
        <v>0.26</v>
      </c>
    </row>
    <row r="47" spans="1:8" x14ac:dyDescent="0.25">
      <c r="A47" t="s">
        <v>198</v>
      </c>
      <c r="B47" t="s">
        <v>255</v>
      </c>
      <c r="C47" t="s">
        <v>251</v>
      </c>
      <c r="D47" t="s">
        <v>20</v>
      </c>
      <c r="H47">
        <v>0.17</v>
      </c>
    </row>
    <row r="48" spans="1:8" x14ac:dyDescent="0.25">
      <c r="A48" t="s">
        <v>198</v>
      </c>
      <c r="B48" t="s">
        <v>256</v>
      </c>
      <c r="C48" t="s">
        <v>251</v>
      </c>
      <c r="D48" t="s">
        <v>20</v>
      </c>
      <c r="H48">
        <v>0.2</v>
      </c>
    </row>
    <row r="49" spans="1:8" x14ac:dyDescent="0.25">
      <c r="A49" t="s">
        <v>198</v>
      </c>
      <c r="B49" t="s">
        <v>257</v>
      </c>
      <c r="C49" t="s">
        <v>251</v>
      </c>
      <c r="D49" t="s">
        <v>20</v>
      </c>
      <c r="H49">
        <v>0.18</v>
      </c>
    </row>
    <row r="50" spans="1:8" x14ac:dyDescent="0.25">
      <c r="A50" t="s">
        <v>198</v>
      </c>
      <c r="B50" t="s">
        <v>258</v>
      </c>
      <c r="C50" t="s">
        <v>251</v>
      </c>
      <c r="D50" t="s">
        <v>20</v>
      </c>
      <c r="H50">
        <v>0.19</v>
      </c>
    </row>
    <row r="51" spans="1:8" x14ac:dyDescent="0.25">
      <c r="A51" t="s">
        <v>198</v>
      </c>
      <c r="B51" t="s">
        <v>259</v>
      </c>
      <c r="C51" t="s">
        <v>251</v>
      </c>
      <c r="D51" t="s">
        <v>20</v>
      </c>
      <c r="H51">
        <v>0.12</v>
      </c>
    </row>
    <row r="52" spans="1:8" x14ac:dyDescent="0.25">
      <c r="A52" t="s">
        <v>198</v>
      </c>
      <c r="B52" t="s">
        <v>260</v>
      </c>
      <c r="C52" t="s">
        <v>251</v>
      </c>
      <c r="D52" t="s">
        <v>20</v>
      </c>
      <c r="H52">
        <v>0.24</v>
      </c>
    </row>
    <row r="53" spans="1:8" x14ac:dyDescent="0.25">
      <c r="A53" t="s">
        <v>198</v>
      </c>
      <c r="B53" t="s">
        <v>261</v>
      </c>
      <c r="C53" t="s">
        <v>251</v>
      </c>
      <c r="D53" t="s">
        <v>20</v>
      </c>
      <c r="H53">
        <v>0.14000000000000001</v>
      </c>
    </row>
    <row r="54" spans="1:8" x14ac:dyDescent="0.25">
      <c r="A54" t="s">
        <v>198</v>
      </c>
      <c r="B54" t="s">
        <v>262</v>
      </c>
      <c r="C54" t="s">
        <v>251</v>
      </c>
      <c r="D54" t="s">
        <v>20</v>
      </c>
      <c r="H54">
        <v>0.15</v>
      </c>
    </row>
    <row r="55" spans="1:8" x14ac:dyDescent="0.25">
      <c r="A55" t="s">
        <v>198</v>
      </c>
      <c r="B55" t="s">
        <v>263</v>
      </c>
      <c r="C55" t="s">
        <v>251</v>
      </c>
      <c r="D55" t="s">
        <v>20</v>
      </c>
      <c r="H55">
        <v>1.72</v>
      </c>
    </row>
    <row r="56" spans="1:8" x14ac:dyDescent="0.25">
      <c r="A56" t="s">
        <v>198</v>
      </c>
      <c r="B56" t="s">
        <v>264</v>
      </c>
      <c r="C56" t="s">
        <v>251</v>
      </c>
      <c r="D56" t="s">
        <v>20</v>
      </c>
      <c r="H56">
        <v>0.2</v>
      </c>
    </row>
    <row r="57" spans="1:8" x14ac:dyDescent="0.25">
      <c r="A57" t="s">
        <v>198</v>
      </c>
      <c r="B57" t="s">
        <v>265</v>
      </c>
      <c r="C57" t="s">
        <v>251</v>
      </c>
      <c r="D57" t="s">
        <v>20</v>
      </c>
      <c r="H57">
        <v>0.16</v>
      </c>
    </row>
    <row r="58" spans="1:8" x14ac:dyDescent="0.25">
      <c r="A58" t="s">
        <v>198</v>
      </c>
      <c r="B58" t="s">
        <v>266</v>
      </c>
      <c r="C58" t="s">
        <v>251</v>
      </c>
      <c r="D58" t="s">
        <v>20</v>
      </c>
      <c r="H58">
        <v>0.1</v>
      </c>
    </row>
    <row r="59" spans="1:8" x14ac:dyDescent="0.25">
      <c r="A59" t="s">
        <v>198</v>
      </c>
      <c r="B59" t="s">
        <v>267</v>
      </c>
      <c r="C59" t="s">
        <v>251</v>
      </c>
      <c r="D59" t="s">
        <v>20</v>
      </c>
      <c r="H59">
        <v>0.1</v>
      </c>
    </row>
    <row r="60" spans="1:8" x14ac:dyDescent="0.25">
      <c r="A60" t="s">
        <v>198</v>
      </c>
      <c r="B60" t="s">
        <v>268</v>
      </c>
      <c r="C60" t="s">
        <v>251</v>
      </c>
      <c r="D60" t="s">
        <v>20</v>
      </c>
      <c r="H60">
        <v>0.08</v>
      </c>
    </row>
    <row r="61" spans="1:8" x14ac:dyDescent="0.25">
      <c r="A61" t="s">
        <v>198</v>
      </c>
      <c r="B61" t="s">
        <v>269</v>
      </c>
      <c r="C61" t="s">
        <v>251</v>
      </c>
      <c r="D61" t="s">
        <v>20</v>
      </c>
      <c r="H61">
        <v>0.13</v>
      </c>
    </row>
    <row r="62" spans="1:8" x14ac:dyDescent="0.25">
      <c r="A62" t="s">
        <v>198</v>
      </c>
      <c r="B62" t="s">
        <v>270</v>
      </c>
      <c r="C62" t="s">
        <v>251</v>
      </c>
      <c r="D62" t="s">
        <v>20</v>
      </c>
      <c r="H62">
        <v>0.19</v>
      </c>
    </row>
    <row r="63" spans="1:8" x14ac:dyDescent="0.25">
      <c r="A63" t="s">
        <v>198</v>
      </c>
      <c r="B63" t="s">
        <v>271</v>
      </c>
      <c r="C63" t="s">
        <v>188</v>
      </c>
      <c r="D63" t="s">
        <v>20</v>
      </c>
      <c r="H63">
        <v>3.66</v>
      </c>
    </row>
    <row r="64" spans="1:8" x14ac:dyDescent="0.25">
      <c r="A64" t="s">
        <v>198</v>
      </c>
      <c r="B64" t="s">
        <v>272</v>
      </c>
      <c r="C64" t="s">
        <v>273</v>
      </c>
      <c r="D64" t="s">
        <v>20</v>
      </c>
      <c r="H64">
        <v>3.07</v>
      </c>
    </row>
    <row r="65" spans="1:19" x14ac:dyDescent="0.25">
      <c r="A65" t="s">
        <v>198</v>
      </c>
      <c r="B65" t="s">
        <v>274</v>
      </c>
      <c r="C65" t="s">
        <v>273</v>
      </c>
      <c r="D65" t="s">
        <v>20</v>
      </c>
      <c r="H65">
        <v>3.07</v>
      </c>
    </row>
    <row r="66" spans="1:19" x14ac:dyDescent="0.25">
      <c r="A66" t="s">
        <v>198</v>
      </c>
      <c r="B66" t="s">
        <v>275</v>
      </c>
      <c r="C66" t="s">
        <v>276</v>
      </c>
      <c r="D66" t="s">
        <v>20</v>
      </c>
      <c r="H66">
        <v>0.8</v>
      </c>
    </row>
    <row r="67" spans="1:19" x14ac:dyDescent="0.25">
      <c r="A67" t="s">
        <v>277</v>
      </c>
      <c r="B67" t="s">
        <v>278</v>
      </c>
      <c r="C67" t="s">
        <v>188</v>
      </c>
      <c r="D67" t="s">
        <v>279</v>
      </c>
      <c r="E67">
        <v>11435.4781138456</v>
      </c>
      <c r="G67">
        <v>32700</v>
      </c>
      <c r="J67">
        <v>387.22864392444319</v>
      </c>
      <c r="K67">
        <v>500</v>
      </c>
      <c r="L67">
        <v>698000</v>
      </c>
      <c r="R67">
        <v>8700</v>
      </c>
      <c r="S67">
        <v>5246.4123023788961</v>
      </c>
    </row>
    <row r="68" spans="1:19" x14ac:dyDescent="0.25">
      <c r="A68" t="s">
        <v>277</v>
      </c>
      <c r="B68" t="s">
        <v>280</v>
      </c>
      <c r="C68" t="s">
        <v>188</v>
      </c>
      <c r="D68" t="s">
        <v>279</v>
      </c>
      <c r="E68">
        <v>14233.1486004133</v>
      </c>
      <c r="G68">
        <v>40700</v>
      </c>
      <c r="I68">
        <v>31</v>
      </c>
      <c r="J68">
        <v>542.12010149422053</v>
      </c>
      <c r="K68">
        <v>700.00000000000011</v>
      </c>
      <c r="L68">
        <v>690000</v>
      </c>
      <c r="M68">
        <v>2.87</v>
      </c>
      <c r="N68">
        <v>1.22</v>
      </c>
      <c r="O68">
        <v>6.49</v>
      </c>
      <c r="P68">
        <v>128</v>
      </c>
      <c r="R68">
        <v>6300</v>
      </c>
      <c r="S68">
        <v>3799.1261499985108</v>
      </c>
    </row>
    <row r="69" spans="1:19" x14ac:dyDescent="0.25">
      <c r="A69" t="s">
        <v>277</v>
      </c>
      <c r="B69" t="s">
        <v>281</v>
      </c>
      <c r="C69" t="s">
        <v>188</v>
      </c>
      <c r="D69" t="s">
        <v>279</v>
      </c>
      <c r="E69">
        <v>6364.7003569415738</v>
      </c>
      <c r="G69">
        <v>18200</v>
      </c>
      <c r="J69">
        <v>542.12066977363145</v>
      </c>
      <c r="K69">
        <v>700.00000000000011</v>
      </c>
      <c r="L69">
        <v>795699.99999999988</v>
      </c>
      <c r="R69">
        <v>1900</v>
      </c>
      <c r="S69">
        <v>1145.7682039678048</v>
      </c>
    </row>
    <row r="70" spans="1:19" x14ac:dyDescent="0.25">
      <c r="A70" t="s">
        <v>277</v>
      </c>
      <c r="B70" t="s">
        <v>282</v>
      </c>
      <c r="C70" t="s">
        <v>188</v>
      </c>
      <c r="D70" t="s">
        <v>279</v>
      </c>
      <c r="E70">
        <v>2902.5831298140147</v>
      </c>
      <c r="G70">
        <v>8300</v>
      </c>
      <c r="J70">
        <v>77.445809967661631</v>
      </c>
      <c r="K70">
        <v>100</v>
      </c>
      <c r="L70">
        <v>768100</v>
      </c>
      <c r="R70">
        <v>800</v>
      </c>
      <c r="S70">
        <v>482.42871746012838</v>
      </c>
    </row>
    <row r="71" spans="1:19" x14ac:dyDescent="0.25">
      <c r="A71" t="s">
        <v>277</v>
      </c>
      <c r="B71" t="s">
        <v>283</v>
      </c>
      <c r="C71" t="s">
        <v>188</v>
      </c>
      <c r="D71" t="s">
        <v>279</v>
      </c>
      <c r="E71">
        <v>6994.1762164193124</v>
      </c>
      <c r="G71">
        <v>20000</v>
      </c>
      <c r="J71">
        <v>154.89161993532326</v>
      </c>
      <c r="K71">
        <v>200</v>
      </c>
      <c r="L71">
        <v>739500</v>
      </c>
      <c r="R71">
        <v>3100</v>
      </c>
      <c r="S71">
        <v>1869.4112801579975</v>
      </c>
    </row>
    <row r="72" spans="1:19" x14ac:dyDescent="0.25">
      <c r="A72" t="s">
        <v>277</v>
      </c>
      <c r="B72" t="s">
        <v>284</v>
      </c>
      <c r="C72" t="s">
        <v>188</v>
      </c>
      <c r="D72" t="s">
        <v>279</v>
      </c>
      <c r="E72">
        <v>10526.235205711064</v>
      </c>
      <c r="G72">
        <v>30099.999999999996</v>
      </c>
      <c r="J72">
        <v>464.67485980596979</v>
      </c>
      <c r="K72">
        <v>600</v>
      </c>
      <c r="L72">
        <v>728600</v>
      </c>
      <c r="R72">
        <v>4100</v>
      </c>
      <c r="S72">
        <v>2472.447176983158</v>
      </c>
    </row>
    <row r="73" spans="1:19" x14ac:dyDescent="0.25">
      <c r="A73" t="s">
        <v>277</v>
      </c>
      <c r="B73" t="s">
        <v>285</v>
      </c>
      <c r="C73" t="s">
        <v>188</v>
      </c>
      <c r="D73" t="s">
        <v>279</v>
      </c>
      <c r="E73">
        <v>7763.5356002254375</v>
      </c>
      <c r="G73">
        <v>22200.000000000004</v>
      </c>
      <c r="J73">
        <v>232.33742990298489</v>
      </c>
      <c r="K73">
        <v>300</v>
      </c>
      <c r="L73">
        <v>751700</v>
      </c>
      <c r="R73">
        <v>1100</v>
      </c>
      <c r="S73">
        <v>663.3394865076765</v>
      </c>
    </row>
    <row r="74" spans="1:19" x14ac:dyDescent="0.25">
      <c r="A74" t="s">
        <v>277</v>
      </c>
      <c r="B74" t="s">
        <v>286</v>
      </c>
      <c r="C74" t="s">
        <v>188</v>
      </c>
      <c r="D74" t="s">
        <v>279</v>
      </c>
      <c r="E74">
        <v>9966.7011083975194</v>
      </c>
      <c r="G74">
        <v>28500</v>
      </c>
      <c r="J74">
        <v>309.78323987064653</v>
      </c>
      <c r="K74">
        <v>400</v>
      </c>
      <c r="L74">
        <v>710699.99999999988</v>
      </c>
      <c r="R74">
        <v>6500</v>
      </c>
      <c r="S74">
        <v>3919.7333293635429</v>
      </c>
    </row>
    <row r="75" spans="1:19" x14ac:dyDescent="0.25">
      <c r="A75" t="s">
        <v>277</v>
      </c>
      <c r="B75" t="s">
        <v>287</v>
      </c>
      <c r="C75" t="s">
        <v>188</v>
      </c>
      <c r="D75" t="s">
        <v>279</v>
      </c>
      <c r="E75">
        <v>3636.9716325380423</v>
      </c>
      <c r="G75">
        <v>10400</v>
      </c>
      <c r="J75">
        <v>77.445809967661631</v>
      </c>
      <c r="K75">
        <v>100</v>
      </c>
      <c r="L75">
        <v>770000</v>
      </c>
      <c r="R75">
        <v>1500</v>
      </c>
      <c r="S75">
        <v>904.55384523774069</v>
      </c>
    </row>
    <row r="76" spans="1:19" x14ac:dyDescent="0.25">
      <c r="A76" t="s">
        <v>277</v>
      </c>
      <c r="B76" t="s">
        <v>288</v>
      </c>
      <c r="C76" t="s">
        <v>188</v>
      </c>
      <c r="D76" t="s">
        <v>279</v>
      </c>
      <c r="E76">
        <v>8777.6911516062355</v>
      </c>
      <c r="G76">
        <v>25099.999999999996</v>
      </c>
      <c r="I76">
        <v>12.1</v>
      </c>
      <c r="J76">
        <v>309.78323987064653</v>
      </c>
      <c r="K76">
        <v>400</v>
      </c>
      <c r="L76">
        <v>741900</v>
      </c>
      <c r="M76">
        <v>10.9</v>
      </c>
      <c r="N76">
        <v>3.77</v>
      </c>
      <c r="O76">
        <v>1.82</v>
      </c>
      <c r="P76">
        <v>129</v>
      </c>
      <c r="R76">
        <v>4200</v>
      </c>
      <c r="S76">
        <v>2532.7507666656738</v>
      </c>
    </row>
    <row r="77" spans="1:19" x14ac:dyDescent="0.25">
      <c r="A77" t="s">
        <v>277</v>
      </c>
      <c r="B77" t="s">
        <v>289</v>
      </c>
      <c r="C77" t="s">
        <v>188</v>
      </c>
      <c r="D77" t="s">
        <v>279</v>
      </c>
      <c r="E77">
        <v>4161.534848769491</v>
      </c>
      <c r="G77">
        <v>11900</v>
      </c>
      <c r="I77">
        <v>2.6</v>
      </c>
      <c r="J77">
        <v>697.01228970895465</v>
      </c>
      <c r="K77">
        <v>900</v>
      </c>
      <c r="L77">
        <v>771600</v>
      </c>
      <c r="M77">
        <v>15.6</v>
      </c>
      <c r="N77">
        <v>2.36</v>
      </c>
      <c r="O77">
        <v>0.122</v>
      </c>
      <c r="P77">
        <v>113</v>
      </c>
      <c r="R77">
        <v>600</v>
      </c>
      <c r="S77">
        <v>361.82153809509629</v>
      </c>
    </row>
    <row r="78" spans="1:19" x14ac:dyDescent="0.25">
      <c r="A78" t="s">
        <v>277</v>
      </c>
      <c r="B78" t="s">
        <v>290</v>
      </c>
      <c r="C78" t="s">
        <v>188</v>
      </c>
      <c r="D78" t="s">
        <v>279</v>
      </c>
      <c r="E78">
        <v>2727.7287244035319</v>
      </c>
      <c r="G78">
        <v>7800</v>
      </c>
      <c r="I78">
        <v>1.87</v>
      </c>
      <c r="J78">
        <v>154.89161993532326</v>
      </c>
      <c r="K78">
        <v>200</v>
      </c>
      <c r="L78">
        <v>819800</v>
      </c>
      <c r="M78">
        <v>2.34</v>
      </c>
      <c r="N78">
        <v>1.71</v>
      </c>
      <c r="O78">
        <v>0.11</v>
      </c>
      <c r="P78">
        <v>124</v>
      </c>
      <c r="R78">
        <v>500</v>
      </c>
      <c r="S78">
        <v>301.51794841258021</v>
      </c>
    </row>
    <row r="79" spans="1:19" x14ac:dyDescent="0.25">
      <c r="A79" t="s">
        <v>277</v>
      </c>
      <c r="B79" t="s">
        <v>291</v>
      </c>
      <c r="C79" t="s">
        <v>188</v>
      </c>
      <c r="D79" t="s">
        <v>279</v>
      </c>
      <c r="E79">
        <v>4546.2145406725531</v>
      </c>
      <c r="G79">
        <v>13000</v>
      </c>
      <c r="I79">
        <v>5.46</v>
      </c>
      <c r="J79">
        <v>154.89161993532326</v>
      </c>
      <c r="K79">
        <v>200</v>
      </c>
      <c r="L79">
        <v>785600</v>
      </c>
      <c r="M79">
        <v>3.8</v>
      </c>
      <c r="N79">
        <v>1.38</v>
      </c>
      <c r="O79">
        <v>0.875</v>
      </c>
      <c r="P79">
        <v>291</v>
      </c>
      <c r="R79">
        <v>1000</v>
      </c>
      <c r="S79">
        <v>603.03589682516042</v>
      </c>
    </row>
    <row r="80" spans="1:19" x14ac:dyDescent="0.25">
      <c r="A80" t="s">
        <v>277</v>
      </c>
      <c r="B80" t="s">
        <v>292</v>
      </c>
      <c r="C80" t="s">
        <v>188</v>
      </c>
      <c r="D80" t="s">
        <v>279</v>
      </c>
      <c r="E80">
        <v>6364.7003569415738</v>
      </c>
      <c r="G80">
        <v>18200</v>
      </c>
      <c r="I80">
        <v>4.25</v>
      </c>
      <c r="J80">
        <v>232.33742990298489</v>
      </c>
      <c r="K80">
        <v>300</v>
      </c>
      <c r="L80">
        <v>747800</v>
      </c>
      <c r="M80">
        <v>7.4</v>
      </c>
      <c r="N80">
        <v>2.72</v>
      </c>
      <c r="O80">
        <v>0.34699999999999998</v>
      </c>
      <c r="P80">
        <v>135</v>
      </c>
      <c r="R80">
        <v>1100</v>
      </c>
      <c r="S80">
        <v>663.3394865076765</v>
      </c>
    </row>
    <row r="81" spans="1:19" x14ac:dyDescent="0.25">
      <c r="A81" t="s">
        <v>277</v>
      </c>
      <c r="B81" t="s">
        <v>293</v>
      </c>
      <c r="C81" t="s">
        <v>188</v>
      </c>
      <c r="D81" t="s">
        <v>279</v>
      </c>
      <c r="E81">
        <v>4476.2727785083598</v>
      </c>
      <c r="G81">
        <v>12800</v>
      </c>
      <c r="I81">
        <v>4.0881849045126399</v>
      </c>
      <c r="J81">
        <v>77.445809967661631</v>
      </c>
      <c r="K81">
        <v>100</v>
      </c>
      <c r="L81">
        <v>754800</v>
      </c>
      <c r="M81">
        <v>6.1646538502995698</v>
      </c>
      <c r="N81">
        <v>5.9995751057325144</v>
      </c>
      <c r="O81">
        <v>0.24913390462886201</v>
      </c>
      <c r="P81">
        <v>27.747119080226199</v>
      </c>
      <c r="R81">
        <v>1700</v>
      </c>
      <c r="S81">
        <v>1025.1610246027728</v>
      </c>
    </row>
    <row r="82" spans="1:19" x14ac:dyDescent="0.25">
      <c r="A82" t="s">
        <v>277</v>
      </c>
      <c r="B82" t="s">
        <v>294</v>
      </c>
      <c r="C82" t="s">
        <v>188</v>
      </c>
      <c r="D82" t="s">
        <v>295</v>
      </c>
      <c r="E82">
        <v>9791.8467029870371</v>
      </c>
      <c r="G82">
        <v>28000</v>
      </c>
      <c r="I82">
        <v>1.29</v>
      </c>
      <c r="J82">
        <v>309.78323987064653</v>
      </c>
      <c r="K82">
        <v>400</v>
      </c>
      <c r="L82">
        <v>766200</v>
      </c>
      <c r="M82">
        <v>2.27</v>
      </c>
      <c r="N82">
        <v>0.78900000000000003</v>
      </c>
      <c r="O82">
        <v>0.66600000000000004</v>
      </c>
      <c r="P82">
        <v>114</v>
      </c>
      <c r="R82">
        <v>3400</v>
      </c>
      <c r="S82">
        <v>2050.3220492055457</v>
      </c>
    </row>
    <row r="83" spans="1:19" x14ac:dyDescent="0.25">
      <c r="A83" t="s">
        <v>277</v>
      </c>
      <c r="B83" t="s">
        <v>296</v>
      </c>
      <c r="C83" t="s">
        <v>188</v>
      </c>
      <c r="D83" t="s">
        <v>295</v>
      </c>
      <c r="E83">
        <v>9162.3708435092994</v>
      </c>
      <c r="G83">
        <v>26200</v>
      </c>
      <c r="I83">
        <v>3.91</v>
      </c>
      <c r="J83">
        <v>309.78323987064653</v>
      </c>
      <c r="K83">
        <v>400</v>
      </c>
      <c r="L83">
        <v>738700</v>
      </c>
      <c r="M83">
        <v>4.0599999999999996</v>
      </c>
      <c r="N83">
        <v>3.72</v>
      </c>
      <c r="O83">
        <v>1.54</v>
      </c>
      <c r="P83">
        <v>117</v>
      </c>
      <c r="R83">
        <v>6400</v>
      </c>
      <c r="S83">
        <v>3859.4297396810271</v>
      </c>
    </row>
    <row r="84" spans="1:19" x14ac:dyDescent="0.25">
      <c r="A84" t="s">
        <v>277</v>
      </c>
      <c r="B84" t="s">
        <v>297</v>
      </c>
      <c r="C84" t="s">
        <v>188</v>
      </c>
      <c r="D84" t="s">
        <v>295</v>
      </c>
      <c r="E84">
        <v>10176.526394890099</v>
      </c>
      <c r="G84">
        <v>29100</v>
      </c>
      <c r="I84">
        <v>0.33400000000000002</v>
      </c>
      <c r="J84">
        <v>309.78323987064653</v>
      </c>
      <c r="K84">
        <v>400</v>
      </c>
      <c r="L84">
        <v>759000</v>
      </c>
      <c r="M84">
        <v>2.2799999999999998</v>
      </c>
      <c r="N84">
        <v>4.08</v>
      </c>
      <c r="O84">
        <v>0.19400000000000001</v>
      </c>
      <c r="P84">
        <v>60.3</v>
      </c>
      <c r="R84">
        <v>2000</v>
      </c>
      <c r="S84">
        <v>1206.0717936503208</v>
      </c>
    </row>
    <row r="85" spans="1:19" x14ac:dyDescent="0.25">
      <c r="A85" t="s">
        <v>277</v>
      </c>
      <c r="B85" t="s">
        <v>298</v>
      </c>
      <c r="C85" t="s">
        <v>188</v>
      </c>
      <c r="D85" t="s">
        <v>295</v>
      </c>
      <c r="E85">
        <v>7064.1179785835056</v>
      </c>
      <c r="G85">
        <v>20200</v>
      </c>
      <c r="I85">
        <v>0.39</v>
      </c>
      <c r="J85">
        <v>309.78323987064653</v>
      </c>
      <c r="K85">
        <v>400</v>
      </c>
      <c r="L85">
        <v>777000</v>
      </c>
      <c r="M85">
        <v>2.13</v>
      </c>
      <c r="N85">
        <v>1.62</v>
      </c>
      <c r="O85">
        <v>8.7800000000000003E-2</v>
      </c>
      <c r="P85">
        <v>113</v>
      </c>
      <c r="R85">
        <v>1800</v>
      </c>
      <c r="S85">
        <v>1085.4646142852889</v>
      </c>
    </row>
    <row r="86" spans="1:19" x14ac:dyDescent="0.25">
      <c r="A86" t="s">
        <v>277</v>
      </c>
      <c r="B86" t="s">
        <v>299</v>
      </c>
      <c r="C86" t="s">
        <v>188</v>
      </c>
      <c r="D86" t="s">
        <v>295</v>
      </c>
      <c r="E86">
        <v>15072.449746383616</v>
      </c>
      <c r="G86">
        <v>43099.999999999993</v>
      </c>
      <c r="I86">
        <v>4.0038992669374602</v>
      </c>
      <c r="J86">
        <v>929.34971961193958</v>
      </c>
      <c r="K86">
        <v>1200</v>
      </c>
      <c r="L86">
        <v>701300</v>
      </c>
      <c r="M86">
        <v>4.3901918369956201</v>
      </c>
      <c r="N86">
        <v>4.8891071123423178</v>
      </c>
      <c r="O86">
        <v>1.1808549727395701</v>
      </c>
      <c r="P86">
        <v>195.54594241668801</v>
      </c>
      <c r="R86">
        <v>3500</v>
      </c>
      <c r="S86">
        <v>2110.6256388880615</v>
      </c>
    </row>
    <row r="87" spans="1:19" x14ac:dyDescent="0.25">
      <c r="A87" t="s">
        <v>277</v>
      </c>
      <c r="B87" t="s">
        <v>300</v>
      </c>
      <c r="C87" t="s">
        <v>188</v>
      </c>
      <c r="D87" t="s">
        <v>295</v>
      </c>
      <c r="E87">
        <v>3567.029870373849</v>
      </c>
      <c r="G87">
        <v>10200</v>
      </c>
      <c r="I87">
        <v>3.02</v>
      </c>
      <c r="J87">
        <v>77.445809967661631</v>
      </c>
      <c r="K87">
        <v>100</v>
      </c>
      <c r="L87">
        <v>793600</v>
      </c>
      <c r="M87">
        <v>18.3</v>
      </c>
      <c r="N87">
        <v>6.17</v>
      </c>
      <c r="O87">
        <v>0.186</v>
      </c>
      <c r="P87">
        <v>88.7</v>
      </c>
      <c r="R87">
        <v>8700</v>
      </c>
      <c r="S87">
        <v>5246.4123023788961</v>
      </c>
    </row>
    <row r="88" spans="1:19" x14ac:dyDescent="0.25">
      <c r="A88" t="s">
        <v>277</v>
      </c>
      <c r="B88" t="s">
        <v>301</v>
      </c>
      <c r="C88" t="s">
        <v>188</v>
      </c>
      <c r="D88" t="s">
        <v>295</v>
      </c>
      <c r="E88">
        <v>12624.488070636859</v>
      </c>
      <c r="G88">
        <v>36100</v>
      </c>
      <c r="I88">
        <v>4.6067890428980496</v>
      </c>
      <c r="J88">
        <v>929.34971961193958</v>
      </c>
      <c r="K88">
        <v>1200</v>
      </c>
      <c r="L88">
        <v>777400</v>
      </c>
      <c r="M88">
        <v>12.1237678798513</v>
      </c>
      <c r="N88">
        <v>18.243429644292089</v>
      </c>
      <c r="O88">
        <v>1.4069489409373499</v>
      </c>
      <c r="P88">
        <v>607.30383751842203</v>
      </c>
      <c r="R88">
        <v>4300</v>
      </c>
      <c r="S88">
        <v>2593.0543563481901</v>
      </c>
    </row>
    <row r="89" spans="1:19" x14ac:dyDescent="0.25">
      <c r="A89" t="s">
        <v>277</v>
      </c>
      <c r="B89" t="s">
        <v>302</v>
      </c>
      <c r="C89" t="s">
        <v>188</v>
      </c>
      <c r="D89" t="s">
        <v>295</v>
      </c>
      <c r="E89">
        <v>9302.254367837686</v>
      </c>
      <c r="G89">
        <v>26600</v>
      </c>
      <c r="I89">
        <v>0.27300000000000002</v>
      </c>
      <c r="J89">
        <v>309.78323987064653</v>
      </c>
      <c r="K89">
        <v>400</v>
      </c>
      <c r="L89">
        <v>763300</v>
      </c>
      <c r="M89">
        <v>0.624</v>
      </c>
      <c r="N89">
        <v>0.29899999999999999</v>
      </c>
      <c r="O89">
        <v>0.127</v>
      </c>
      <c r="P89">
        <v>120</v>
      </c>
      <c r="R89">
        <v>1800</v>
      </c>
      <c r="S89">
        <v>1085.4646142852889</v>
      </c>
    </row>
    <row r="90" spans="1:19" x14ac:dyDescent="0.25">
      <c r="A90" t="s">
        <v>277</v>
      </c>
      <c r="B90" t="s">
        <v>303</v>
      </c>
      <c r="C90" t="s">
        <v>188</v>
      </c>
      <c r="D90" t="s">
        <v>295</v>
      </c>
      <c r="E90">
        <v>10596.176967875257</v>
      </c>
      <c r="G90">
        <v>30299.999999999996</v>
      </c>
      <c r="I90">
        <v>2.44</v>
      </c>
      <c r="J90">
        <v>1084.2413395472629</v>
      </c>
      <c r="K90">
        <v>1400.0000000000002</v>
      </c>
      <c r="L90">
        <v>746700</v>
      </c>
      <c r="M90">
        <v>5.75</v>
      </c>
      <c r="N90">
        <v>0</v>
      </c>
      <c r="O90">
        <v>0.57599999999999996</v>
      </c>
      <c r="P90">
        <v>63.2</v>
      </c>
      <c r="R90">
        <v>1200</v>
      </c>
      <c r="S90">
        <v>723.64307619019257</v>
      </c>
    </row>
    <row r="91" spans="1:19" x14ac:dyDescent="0.25">
      <c r="A91" t="s">
        <v>304</v>
      </c>
      <c r="B91" t="s">
        <v>305</v>
      </c>
      <c r="C91" t="s">
        <v>306</v>
      </c>
      <c r="D91" t="s">
        <v>307</v>
      </c>
      <c r="E91">
        <v>144000</v>
      </c>
      <c r="F91">
        <v>185000</v>
      </c>
      <c r="I91">
        <v>113</v>
      </c>
      <c r="J91">
        <v>3480</v>
      </c>
      <c r="K91">
        <v>4500</v>
      </c>
      <c r="L91">
        <v>479000</v>
      </c>
      <c r="O91">
        <v>24</v>
      </c>
      <c r="P91">
        <v>220</v>
      </c>
      <c r="S91">
        <f>3.77*10000</f>
        <v>37700</v>
      </c>
    </row>
    <row r="92" spans="1:19" x14ac:dyDescent="0.25">
      <c r="A92" t="s">
        <v>304</v>
      </c>
      <c r="B92" t="s">
        <v>308</v>
      </c>
      <c r="C92" t="s">
        <v>306</v>
      </c>
      <c r="D92" t="s">
        <v>307</v>
      </c>
      <c r="E92">
        <v>151000</v>
      </c>
      <c r="F92">
        <v>194000</v>
      </c>
      <c r="H92">
        <v>0.37</v>
      </c>
      <c r="I92">
        <v>290</v>
      </c>
      <c r="J92">
        <v>4010</v>
      </c>
      <c r="K92">
        <v>5200</v>
      </c>
      <c r="L92">
        <v>513000</v>
      </c>
      <c r="M92">
        <v>16</v>
      </c>
      <c r="N92">
        <v>79</v>
      </c>
      <c r="O92">
        <v>40</v>
      </c>
      <c r="P92">
        <v>69</v>
      </c>
      <c r="S92">
        <f>5.58*10000</f>
        <v>55800</v>
      </c>
    </row>
    <row r="93" spans="1:19" x14ac:dyDescent="0.25">
      <c r="A93" t="s">
        <v>304</v>
      </c>
      <c r="B93" t="s">
        <v>309</v>
      </c>
      <c r="C93" t="s">
        <v>306</v>
      </c>
      <c r="D93" t="s">
        <v>307</v>
      </c>
      <c r="E93">
        <v>153000</v>
      </c>
      <c r="F93">
        <v>197000</v>
      </c>
      <c r="I93">
        <v>202</v>
      </c>
      <c r="J93">
        <v>3700</v>
      </c>
      <c r="K93">
        <v>4800</v>
      </c>
      <c r="L93">
        <v>454000</v>
      </c>
      <c r="N93">
        <v>28</v>
      </c>
      <c r="O93">
        <v>72</v>
      </c>
      <c r="P93">
        <v>49</v>
      </c>
      <c r="S93">
        <f>15.8*10000</f>
        <v>158000</v>
      </c>
    </row>
    <row r="94" spans="1:19" x14ac:dyDescent="0.25">
      <c r="A94" t="s">
        <v>304</v>
      </c>
      <c r="B94" t="s">
        <v>310</v>
      </c>
      <c r="C94" t="s">
        <v>306</v>
      </c>
      <c r="D94" t="s">
        <v>307</v>
      </c>
      <c r="E94">
        <v>141000</v>
      </c>
      <c r="F94">
        <v>181000</v>
      </c>
      <c r="I94">
        <v>312</v>
      </c>
      <c r="J94">
        <v>3880</v>
      </c>
      <c r="K94">
        <v>5000</v>
      </c>
      <c r="L94">
        <v>505000</v>
      </c>
      <c r="N94">
        <v>48</v>
      </c>
      <c r="O94">
        <v>36</v>
      </c>
      <c r="P94">
        <v>60</v>
      </c>
      <c r="S94">
        <f>6.8*10000</f>
        <v>68000</v>
      </c>
    </row>
    <row r="95" spans="1:19" x14ac:dyDescent="0.25">
      <c r="A95" t="s">
        <v>304</v>
      </c>
      <c r="B95" t="s">
        <v>311</v>
      </c>
      <c r="C95" t="s">
        <v>433</v>
      </c>
      <c r="D95" t="s">
        <v>307</v>
      </c>
      <c r="E95">
        <v>212000</v>
      </c>
      <c r="F95">
        <v>273000</v>
      </c>
      <c r="I95">
        <v>39</v>
      </c>
      <c r="J95">
        <v>4120</v>
      </c>
      <c r="K95">
        <v>5300</v>
      </c>
      <c r="L95">
        <v>374000</v>
      </c>
      <c r="M95">
        <v>2.6</v>
      </c>
      <c r="N95">
        <v>500</v>
      </c>
      <c r="O95">
        <v>123</v>
      </c>
      <c r="P95">
        <v>72</v>
      </c>
      <c r="S95">
        <f>19.2*10000</f>
        <v>192000</v>
      </c>
    </row>
    <row r="96" spans="1:19" x14ac:dyDescent="0.25">
      <c r="A96" t="s">
        <v>304</v>
      </c>
      <c r="B96" t="s">
        <v>312</v>
      </c>
      <c r="C96" t="s">
        <v>314</v>
      </c>
      <c r="D96" t="s">
        <v>307</v>
      </c>
      <c r="E96">
        <v>148000</v>
      </c>
      <c r="F96">
        <v>190000</v>
      </c>
      <c r="I96">
        <v>170</v>
      </c>
      <c r="J96">
        <v>3820</v>
      </c>
      <c r="K96">
        <v>4900</v>
      </c>
      <c r="L96">
        <v>460000</v>
      </c>
      <c r="N96">
        <v>280</v>
      </c>
      <c r="O96">
        <v>65</v>
      </c>
      <c r="P96">
        <v>60</v>
      </c>
      <c r="S96">
        <f>15.05*10000</f>
        <v>150500</v>
      </c>
    </row>
    <row r="97" spans="1:19" x14ac:dyDescent="0.25">
      <c r="A97" t="s">
        <v>304</v>
      </c>
      <c r="B97" t="s">
        <v>313</v>
      </c>
      <c r="C97" t="s">
        <v>314</v>
      </c>
      <c r="D97" t="s">
        <v>307</v>
      </c>
      <c r="E97">
        <v>156000</v>
      </c>
      <c r="F97">
        <v>201000</v>
      </c>
      <c r="H97">
        <v>0.2</v>
      </c>
      <c r="I97">
        <v>162</v>
      </c>
      <c r="J97">
        <v>3470</v>
      </c>
      <c r="K97">
        <v>4500</v>
      </c>
      <c r="L97">
        <v>424000</v>
      </c>
      <c r="M97">
        <v>5.0999999999999996</v>
      </c>
      <c r="N97">
        <v>290</v>
      </c>
      <c r="O97">
        <v>72</v>
      </c>
      <c r="P97">
        <v>60</v>
      </c>
      <c r="S97">
        <f>17*10000</f>
        <v>170000</v>
      </c>
    </row>
    <row r="98" spans="1:19" x14ac:dyDescent="0.25">
      <c r="A98" t="s">
        <v>304</v>
      </c>
      <c r="B98" t="s">
        <v>315</v>
      </c>
      <c r="C98" t="s">
        <v>316</v>
      </c>
      <c r="D98" t="s">
        <v>307</v>
      </c>
      <c r="E98">
        <v>153000</v>
      </c>
      <c r="F98">
        <v>197000</v>
      </c>
      <c r="J98">
        <v>5200</v>
      </c>
      <c r="K98">
        <v>6700</v>
      </c>
      <c r="L98">
        <v>495000</v>
      </c>
      <c r="N98">
        <v>80</v>
      </c>
      <c r="S98">
        <f>6.6*10000</f>
        <v>66000</v>
      </c>
    </row>
    <row r="99" spans="1:19" x14ac:dyDescent="0.25">
      <c r="A99" t="s">
        <v>304</v>
      </c>
      <c r="B99" t="s">
        <v>317</v>
      </c>
      <c r="C99" t="s">
        <v>316</v>
      </c>
      <c r="D99" t="s">
        <v>307</v>
      </c>
      <c r="E99">
        <v>168000</v>
      </c>
      <c r="F99">
        <v>216000</v>
      </c>
      <c r="I99">
        <v>169</v>
      </c>
      <c r="J99">
        <v>3880</v>
      </c>
      <c r="K99">
        <v>5000</v>
      </c>
      <c r="L99">
        <v>469000</v>
      </c>
      <c r="M99">
        <v>12</v>
      </c>
      <c r="N99">
        <v>96</v>
      </c>
      <c r="O99">
        <v>43</v>
      </c>
      <c r="P99">
        <v>78</v>
      </c>
      <c r="S99">
        <f>7.8*10000</f>
        <v>78000</v>
      </c>
    </row>
    <row r="100" spans="1:19" x14ac:dyDescent="0.25">
      <c r="A100" t="s">
        <v>304</v>
      </c>
      <c r="B100" t="s">
        <v>318</v>
      </c>
      <c r="C100" t="s">
        <v>316</v>
      </c>
      <c r="D100" t="s">
        <v>307</v>
      </c>
      <c r="E100">
        <v>160000</v>
      </c>
      <c r="F100">
        <v>206000</v>
      </c>
      <c r="H100">
        <v>8.5999999999999993E-2</v>
      </c>
      <c r="I100">
        <v>192</v>
      </c>
      <c r="J100">
        <v>3820</v>
      </c>
      <c r="K100">
        <v>4900</v>
      </c>
      <c r="L100">
        <v>486000</v>
      </c>
      <c r="M100">
        <v>12</v>
      </c>
      <c r="N100">
        <v>90</v>
      </c>
      <c r="O100">
        <v>48</v>
      </c>
      <c r="P100">
        <v>54</v>
      </c>
      <c r="S100">
        <f>7.3*10000</f>
        <v>73000</v>
      </c>
    </row>
    <row r="101" spans="1:19" x14ac:dyDescent="0.25">
      <c r="A101" t="s">
        <v>304</v>
      </c>
      <c r="B101" t="s">
        <v>319</v>
      </c>
      <c r="C101" t="s">
        <v>320</v>
      </c>
      <c r="D101" t="s">
        <v>307</v>
      </c>
      <c r="E101">
        <v>143000</v>
      </c>
      <c r="F101">
        <v>184000</v>
      </c>
      <c r="I101">
        <v>210</v>
      </c>
      <c r="J101">
        <v>3700</v>
      </c>
      <c r="K101">
        <v>4800</v>
      </c>
      <c r="L101">
        <v>499000</v>
      </c>
      <c r="N101">
        <v>180</v>
      </c>
      <c r="O101">
        <v>48</v>
      </c>
      <c r="P101">
        <v>73</v>
      </c>
      <c r="S101">
        <f>9.71*10000</f>
        <v>97100.000000000015</v>
      </c>
    </row>
    <row r="102" spans="1:19" x14ac:dyDescent="0.25">
      <c r="A102" t="s">
        <v>304</v>
      </c>
      <c r="B102" t="s">
        <v>321</v>
      </c>
      <c r="C102" t="s">
        <v>320</v>
      </c>
      <c r="D102" t="s">
        <v>307</v>
      </c>
      <c r="E102">
        <v>135000</v>
      </c>
      <c r="F102">
        <v>174000</v>
      </c>
      <c r="I102">
        <v>190</v>
      </c>
      <c r="J102">
        <v>3300</v>
      </c>
      <c r="K102">
        <v>4300</v>
      </c>
      <c r="L102">
        <v>494000</v>
      </c>
      <c r="N102">
        <v>28</v>
      </c>
      <c r="O102">
        <v>29</v>
      </c>
      <c r="P102">
        <v>91</v>
      </c>
      <c r="S102">
        <f>3.96*10000</f>
        <v>39600</v>
      </c>
    </row>
    <row r="103" spans="1:19" x14ac:dyDescent="0.25">
      <c r="A103" t="s">
        <v>304</v>
      </c>
      <c r="B103" t="s">
        <v>322</v>
      </c>
      <c r="C103" t="s">
        <v>323</v>
      </c>
      <c r="D103" t="s">
        <v>307</v>
      </c>
      <c r="E103">
        <v>136000</v>
      </c>
      <c r="F103">
        <v>175000</v>
      </c>
      <c r="I103">
        <v>201</v>
      </c>
      <c r="J103">
        <v>3560</v>
      </c>
      <c r="K103">
        <v>4600</v>
      </c>
      <c r="L103">
        <v>528000</v>
      </c>
      <c r="N103">
        <v>5.8</v>
      </c>
      <c r="O103">
        <v>47</v>
      </c>
      <c r="P103">
        <v>92</v>
      </c>
      <c r="S103">
        <f>15.1*10000</f>
        <v>151000</v>
      </c>
    </row>
    <row r="104" spans="1:19" x14ac:dyDescent="0.25">
      <c r="A104" t="s">
        <v>324</v>
      </c>
      <c r="B104" t="s">
        <v>325</v>
      </c>
      <c r="C104" t="s">
        <v>326</v>
      </c>
      <c r="D104" t="s">
        <v>327</v>
      </c>
      <c r="E104">
        <v>132142.55887756805</v>
      </c>
      <c r="F104">
        <v>170000</v>
      </c>
      <c r="J104">
        <v>2633.1575389004956</v>
      </c>
      <c r="K104">
        <v>3400.0000000000005</v>
      </c>
      <c r="L104">
        <v>461000</v>
      </c>
      <c r="N104">
        <v>469</v>
      </c>
      <c r="P104">
        <v>345</v>
      </c>
      <c r="R104">
        <v>96000</v>
      </c>
      <c r="S104">
        <v>57891.446112000005</v>
      </c>
    </row>
    <row r="105" spans="1:19" x14ac:dyDescent="0.25">
      <c r="A105" t="s">
        <v>324</v>
      </c>
      <c r="B105" t="s">
        <v>328</v>
      </c>
      <c r="C105" t="s">
        <v>326</v>
      </c>
      <c r="D105" t="s">
        <v>327</v>
      </c>
      <c r="E105">
        <v>94054.409554033744</v>
      </c>
      <c r="F105">
        <v>121000</v>
      </c>
      <c r="J105">
        <v>1703.8078192885557</v>
      </c>
      <c r="K105">
        <v>2200</v>
      </c>
      <c r="L105">
        <v>467000</v>
      </c>
      <c r="N105">
        <v>279</v>
      </c>
      <c r="P105">
        <v>130</v>
      </c>
      <c r="R105">
        <v>78000</v>
      </c>
      <c r="S105">
        <v>47036.799966000006</v>
      </c>
    </row>
    <row r="106" spans="1:19" x14ac:dyDescent="0.25">
      <c r="A106" t="s">
        <v>324</v>
      </c>
      <c r="B106" t="s">
        <v>329</v>
      </c>
      <c r="C106" t="s">
        <v>326</v>
      </c>
      <c r="D106" t="s">
        <v>327</v>
      </c>
      <c r="E106">
        <v>122037.53966928345</v>
      </c>
      <c r="F106">
        <v>157000</v>
      </c>
      <c r="J106">
        <v>2400.8201089975105</v>
      </c>
      <c r="K106">
        <v>3100</v>
      </c>
      <c r="L106">
        <v>462000</v>
      </c>
      <c r="N106">
        <v>459</v>
      </c>
      <c r="P106">
        <v>304</v>
      </c>
      <c r="R106">
        <v>84000</v>
      </c>
      <c r="S106">
        <v>50655.015348000001</v>
      </c>
    </row>
    <row r="107" spans="1:19" x14ac:dyDescent="0.25">
      <c r="A107" t="s">
        <v>324</v>
      </c>
      <c r="B107" t="s">
        <v>330</v>
      </c>
      <c r="C107" t="s">
        <v>326</v>
      </c>
      <c r="D107" t="s">
        <v>327</v>
      </c>
      <c r="E107">
        <v>123592.15800901953</v>
      </c>
      <c r="F107">
        <v>159000</v>
      </c>
      <c r="J107">
        <v>2555.7117289328339</v>
      </c>
      <c r="K107">
        <v>3300</v>
      </c>
      <c r="L107">
        <v>466000</v>
      </c>
      <c r="N107">
        <v>443</v>
      </c>
      <c r="P107">
        <v>262</v>
      </c>
      <c r="R107">
        <v>87000</v>
      </c>
      <c r="S107">
        <v>52464.123039000006</v>
      </c>
    </row>
    <row r="108" spans="1:19" x14ac:dyDescent="0.25">
      <c r="A108" t="s">
        <v>324</v>
      </c>
      <c r="B108" t="s">
        <v>331</v>
      </c>
      <c r="C108" t="s">
        <v>326</v>
      </c>
      <c r="D108" t="s">
        <v>327</v>
      </c>
      <c r="E108">
        <v>125146.77634875564</v>
      </c>
      <c r="F108">
        <v>161000</v>
      </c>
      <c r="J108">
        <v>2555.7117289328339</v>
      </c>
      <c r="K108">
        <v>3300</v>
      </c>
      <c r="L108">
        <v>468000</v>
      </c>
      <c r="N108">
        <v>684</v>
      </c>
      <c r="P108">
        <v>190</v>
      </c>
      <c r="R108">
        <v>96000</v>
      </c>
      <c r="S108">
        <v>57891.446112000005</v>
      </c>
    </row>
    <row r="109" spans="1:19" x14ac:dyDescent="0.25">
      <c r="A109" t="s">
        <v>324</v>
      </c>
      <c r="B109" t="s">
        <v>332</v>
      </c>
      <c r="C109" t="s">
        <v>326</v>
      </c>
      <c r="D109" t="s">
        <v>327</v>
      </c>
      <c r="E109">
        <v>133697.17721730415</v>
      </c>
      <c r="F109">
        <v>172000</v>
      </c>
      <c r="J109">
        <v>1626.3603044826614</v>
      </c>
      <c r="K109">
        <v>2100</v>
      </c>
      <c r="L109">
        <v>309000</v>
      </c>
      <c r="N109">
        <v>589</v>
      </c>
      <c r="P109">
        <v>144</v>
      </c>
      <c r="R109">
        <v>57000</v>
      </c>
      <c r="S109">
        <v>34373.046129000002</v>
      </c>
    </row>
    <row r="110" spans="1:19" x14ac:dyDescent="0.25">
      <c r="A110" t="s">
        <v>324</v>
      </c>
      <c r="B110" t="s">
        <v>333</v>
      </c>
      <c r="C110" t="s">
        <v>326</v>
      </c>
      <c r="D110" t="s">
        <v>327</v>
      </c>
      <c r="E110">
        <v>10882.328378152664</v>
      </c>
      <c r="F110">
        <v>14000</v>
      </c>
      <c r="J110">
        <v>232.3371863546659</v>
      </c>
      <c r="K110">
        <v>300</v>
      </c>
      <c r="L110">
        <v>903000</v>
      </c>
      <c r="N110">
        <v>154</v>
      </c>
      <c r="P110">
        <v>275</v>
      </c>
      <c r="R110">
        <v>23000</v>
      </c>
      <c r="S110">
        <v>13869.825631000002</v>
      </c>
    </row>
    <row r="111" spans="1:19" x14ac:dyDescent="0.25">
      <c r="A111" t="s">
        <v>324</v>
      </c>
      <c r="B111" t="s">
        <v>334</v>
      </c>
      <c r="C111" t="s">
        <v>326</v>
      </c>
      <c r="D111" t="s">
        <v>327</v>
      </c>
      <c r="E111">
        <v>125146.77634875564</v>
      </c>
      <c r="F111">
        <v>161000</v>
      </c>
      <c r="J111">
        <v>1858.6974908373272</v>
      </c>
      <c r="K111">
        <v>2400</v>
      </c>
      <c r="L111">
        <v>495000</v>
      </c>
      <c r="N111">
        <v>717</v>
      </c>
      <c r="P111">
        <v>1068</v>
      </c>
      <c r="R111">
        <v>158000</v>
      </c>
      <c r="S111">
        <v>95279.671726</v>
      </c>
    </row>
    <row r="112" spans="1:19" x14ac:dyDescent="0.25">
      <c r="A112" t="s">
        <v>335</v>
      </c>
      <c r="B112" t="s">
        <v>336</v>
      </c>
      <c r="C112" t="s">
        <v>62</v>
      </c>
      <c r="D112" t="s">
        <v>20</v>
      </c>
      <c r="E112">
        <v>13043.321853475265</v>
      </c>
      <c r="G112">
        <v>37300</v>
      </c>
      <c r="I112">
        <v>0</v>
      </c>
      <c r="J112">
        <v>774.45728784888638</v>
      </c>
      <c r="K112">
        <v>1000</v>
      </c>
      <c r="L112">
        <v>748300</v>
      </c>
      <c r="M112">
        <v>10</v>
      </c>
      <c r="O112">
        <v>1</v>
      </c>
      <c r="P112">
        <v>120</v>
      </c>
      <c r="R112">
        <v>1200</v>
      </c>
      <c r="S112">
        <v>723.64307619019257</v>
      </c>
    </row>
    <row r="113" spans="1:19" x14ac:dyDescent="0.25">
      <c r="A113" t="s">
        <v>335</v>
      </c>
      <c r="B113" t="s">
        <v>337</v>
      </c>
      <c r="C113" t="s">
        <v>338</v>
      </c>
      <c r="D113" t="s">
        <v>20</v>
      </c>
      <c r="E113">
        <v>15386.224170319349</v>
      </c>
      <c r="G113">
        <v>44000</v>
      </c>
      <c r="I113">
        <v>5</v>
      </c>
      <c r="J113">
        <v>619.56583027910904</v>
      </c>
      <c r="K113">
        <v>800</v>
      </c>
      <c r="L113">
        <v>739700</v>
      </c>
      <c r="M113">
        <v>0</v>
      </c>
      <c r="O113">
        <v>2</v>
      </c>
      <c r="P113">
        <v>120</v>
      </c>
      <c r="R113">
        <v>3300</v>
      </c>
      <c r="S113">
        <v>1990.0184595230296</v>
      </c>
    </row>
    <row r="114" spans="1:19" x14ac:dyDescent="0.25">
      <c r="A114" t="s">
        <v>335</v>
      </c>
      <c r="B114" t="s">
        <v>339</v>
      </c>
      <c r="C114" t="s">
        <v>338</v>
      </c>
      <c r="D114" t="s">
        <v>20</v>
      </c>
      <c r="E114">
        <v>11539.668127739511</v>
      </c>
      <c r="G114">
        <v>33000</v>
      </c>
      <c r="I114">
        <v>0</v>
      </c>
      <c r="J114">
        <v>542.12010149422042</v>
      </c>
      <c r="K114">
        <v>700</v>
      </c>
      <c r="L114">
        <v>756300</v>
      </c>
      <c r="M114">
        <v>20</v>
      </c>
      <c r="O114">
        <v>0</v>
      </c>
      <c r="P114">
        <v>110</v>
      </c>
      <c r="R114">
        <v>600</v>
      </c>
      <c r="S114">
        <v>361.82153809509629</v>
      </c>
    </row>
    <row r="115" spans="1:19" x14ac:dyDescent="0.25">
      <c r="A115" t="s">
        <v>335</v>
      </c>
      <c r="B115" t="s">
        <v>340</v>
      </c>
      <c r="C115" t="s">
        <v>338</v>
      </c>
      <c r="D115" t="s">
        <v>20</v>
      </c>
      <c r="E115">
        <v>14756.787726988103</v>
      </c>
      <c r="G115">
        <v>42200</v>
      </c>
      <c r="I115">
        <v>0</v>
      </c>
      <c r="J115">
        <v>697.01155906399777</v>
      </c>
      <c r="K115">
        <v>900</v>
      </c>
      <c r="L115">
        <v>745000</v>
      </c>
      <c r="M115">
        <v>10</v>
      </c>
      <c r="O115">
        <v>1</v>
      </c>
      <c r="P115">
        <v>100</v>
      </c>
      <c r="R115">
        <v>1500</v>
      </c>
      <c r="S115">
        <v>904.55384523774069</v>
      </c>
    </row>
    <row r="116" spans="1:19" x14ac:dyDescent="0.25">
      <c r="A116" t="s">
        <v>335</v>
      </c>
      <c r="B116" t="s">
        <v>341</v>
      </c>
      <c r="C116" t="s">
        <v>338</v>
      </c>
      <c r="D116" t="s">
        <v>20</v>
      </c>
      <c r="E116">
        <v>15246.349405134628</v>
      </c>
      <c r="G116">
        <v>43600</v>
      </c>
      <c r="I116">
        <v>0</v>
      </c>
      <c r="J116">
        <v>774.45728784888638</v>
      </c>
      <c r="K116">
        <v>1000</v>
      </c>
      <c r="L116">
        <v>741200</v>
      </c>
      <c r="M116">
        <v>10</v>
      </c>
      <c r="O116">
        <v>0</v>
      </c>
      <c r="P116">
        <v>110</v>
      </c>
      <c r="R116">
        <v>1800</v>
      </c>
      <c r="S116">
        <v>1085.4646142852889</v>
      </c>
    </row>
    <row r="117" spans="1:19" x14ac:dyDescent="0.25">
      <c r="A117" t="s">
        <v>335</v>
      </c>
      <c r="B117" t="s">
        <v>342</v>
      </c>
      <c r="C117" t="s">
        <v>273</v>
      </c>
      <c r="D117" t="s">
        <v>20</v>
      </c>
      <c r="E117">
        <v>14197.288666249216</v>
      </c>
      <c r="G117">
        <v>40600</v>
      </c>
      <c r="I117">
        <v>5</v>
      </c>
      <c r="J117">
        <v>619.56583027910904</v>
      </c>
      <c r="K117">
        <v>800</v>
      </c>
      <c r="L117">
        <v>739400</v>
      </c>
      <c r="M117">
        <v>20</v>
      </c>
      <c r="O117">
        <v>2</v>
      </c>
      <c r="P117">
        <v>60</v>
      </c>
      <c r="R117">
        <v>3000</v>
      </c>
      <c r="S117">
        <v>1809.1076904754814</v>
      </c>
    </row>
    <row r="118" spans="1:19" x14ac:dyDescent="0.25">
      <c r="A118" t="s">
        <v>335</v>
      </c>
      <c r="B118" t="s">
        <v>343</v>
      </c>
      <c r="C118" t="s">
        <v>273</v>
      </c>
      <c r="D118" t="s">
        <v>20</v>
      </c>
      <c r="E118">
        <v>13497.914840325609</v>
      </c>
      <c r="G118">
        <v>38600</v>
      </c>
      <c r="I118">
        <v>0</v>
      </c>
      <c r="J118">
        <v>697.01155906399777</v>
      </c>
      <c r="K118">
        <v>900</v>
      </c>
      <c r="L118">
        <v>745700</v>
      </c>
      <c r="M118">
        <v>10</v>
      </c>
      <c r="O118">
        <v>0</v>
      </c>
      <c r="P118">
        <v>100</v>
      </c>
      <c r="R118">
        <v>2200</v>
      </c>
      <c r="S118">
        <v>1326.678973015353</v>
      </c>
    </row>
    <row r="119" spans="1:19" x14ac:dyDescent="0.25">
      <c r="A119" t="s">
        <v>344</v>
      </c>
      <c r="B119" t="s">
        <v>345</v>
      </c>
      <c r="C119" t="s">
        <v>187</v>
      </c>
      <c r="D119" t="s">
        <v>20</v>
      </c>
      <c r="E119">
        <v>97696.71</v>
      </c>
      <c r="H119">
        <v>1.05</v>
      </c>
      <c r="I119">
        <v>249.87</v>
      </c>
      <c r="J119">
        <v>1780.72</v>
      </c>
      <c r="M119">
        <v>119.86</v>
      </c>
      <c r="N119">
        <v>75.59</v>
      </c>
      <c r="O119">
        <v>34.35</v>
      </c>
      <c r="P119">
        <v>113.25</v>
      </c>
      <c r="S119">
        <v>35589</v>
      </c>
    </row>
    <row r="120" spans="1:19" x14ac:dyDescent="0.25">
      <c r="A120" t="s">
        <v>344</v>
      </c>
      <c r="B120" t="s">
        <v>346</v>
      </c>
      <c r="C120" t="s">
        <v>187</v>
      </c>
      <c r="D120" t="s">
        <v>20</v>
      </c>
      <c r="E120">
        <v>71459.45</v>
      </c>
      <c r="H120">
        <v>3.5</v>
      </c>
      <c r="I120">
        <v>255.2</v>
      </c>
      <c r="J120">
        <v>1541.2</v>
      </c>
      <c r="M120">
        <v>27.5</v>
      </c>
      <c r="N120">
        <v>63.9</v>
      </c>
      <c r="O120">
        <v>57.55</v>
      </c>
      <c r="P120">
        <v>92.6</v>
      </c>
      <c r="S120">
        <v>40515.699999999997</v>
      </c>
    </row>
    <row r="121" spans="1:19" x14ac:dyDescent="0.25">
      <c r="A121" t="s">
        <v>344</v>
      </c>
      <c r="B121" t="s">
        <v>347</v>
      </c>
      <c r="C121" t="s">
        <v>187</v>
      </c>
      <c r="D121" t="s">
        <v>20</v>
      </c>
      <c r="E121">
        <v>76765.05</v>
      </c>
      <c r="H121">
        <v>0.28000000000000003</v>
      </c>
      <c r="I121">
        <v>252.13</v>
      </c>
      <c r="J121">
        <v>1378.93</v>
      </c>
      <c r="M121">
        <v>121.9</v>
      </c>
      <c r="N121">
        <v>285.72000000000003</v>
      </c>
      <c r="O121">
        <v>63</v>
      </c>
      <c r="P121">
        <v>77.84</v>
      </c>
      <c r="S121">
        <v>72242.740000000005</v>
      </c>
    </row>
    <row r="122" spans="1:19" x14ac:dyDescent="0.25">
      <c r="A122" t="s">
        <v>348</v>
      </c>
      <c r="B122" t="s">
        <v>349</v>
      </c>
      <c r="C122" t="s">
        <v>251</v>
      </c>
      <c r="D122" t="s">
        <v>20</v>
      </c>
      <c r="H122">
        <v>0.46</v>
      </c>
    </row>
    <row r="123" spans="1:19" x14ac:dyDescent="0.25">
      <c r="A123" t="s">
        <v>348</v>
      </c>
      <c r="B123" t="s">
        <v>350</v>
      </c>
      <c r="C123" t="s">
        <v>338</v>
      </c>
      <c r="D123" t="s">
        <v>20</v>
      </c>
      <c r="H123">
        <v>2.57</v>
      </c>
    </row>
    <row r="124" spans="1:19" x14ac:dyDescent="0.25">
      <c r="A124" t="s">
        <v>348</v>
      </c>
      <c r="B124" t="s">
        <v>351</v>
      </c>
      <c r="C124" t="s">
        <v>276</v>
      </c>
      <c r="D124" t="s">
        <v>20</v>
      </c>
      <c r="H124">
        <v>0.65</v>
      </c>
    </row>
    <row r="125" spans="1:19" x14ac:dyDescent="0.25">
      <c r="A125" t="s">
        <v>348</v>
      </c>
      <c r="B125" t="s">
        <v>218</v>
      </c>
      <c r="C125" t="s">
        <v>276</v>
      </c>
      <c r="D125" t="s">
        <v>20</v>
      </c>
      <c r="H125">
        <v>2.15</v>
      </c>
    </row>
    <row r="126" spans="1:19" x14ac:dyDescent="0.25">
      <c r="A126" t="s">
        <v>348</v>
      </c>
      <c r="B126" t="s">
        <v>224</v>
      </c>
      <c r="C126" t="s">
        <v>276</v>
      </c>
      <c r="D126" t="s">
        <v>20</v>
      </c>
      <c r="H126">
        <v>0.95</v>
      </c>
    </row>
    <row r="127" spans="1:19" x14ac:dyDescent="0.25">
      <c r="A127" t="s">
        <v>348</v>
      </c>
      <c r="B127" t="s">
        <v>234</v>
      </c>
      <c r="C127" t="s">
        <v>276</v>
      </c>
      <c r="D127" t="s">
        <v>20</v>
      </c>
      <c r="H127">
        <v>1.36</v>
      </c>
    </row>
    <row r="128" spans="1:19" x14ac:dyDescent="0.25">
      <c r="A128" t="s">
        <v>352</v>
      </c>
      <c r="B128" t="s">
        <v>353</v>
      </c>
      <c r="C128" t="s">
        <v>187</v>
      </c>
      <c r="D128" t="s">
        <v>20</v>
      </c>
      <c r="H128">
        <v>0.3</v>
      </c>
    </row>
    <row r="129" spans="1:8" x14ac:dyDescent="0.25">
      <c r="A129" t="s">
        <v>352</v>
      </c>
      <c r="B129" t="s">
        <v>354</v>
      </c>
      <c r="C129" t="s">
        <v>187</v>
      </c>
      <c r="D129" t="s">
        <v>20</v>
      </c>
      <c r="H129">
        <v>2.6</v>
      </c>
    </row>
    <row r="130" spans="1:8" x14ac:dyDescent="0.25">
      <c r="A130" t="s">
        <v>352</v>
      </c>
      <c r="B130" t="s">
        <v>355</v>
      </c>
      <c r="C130" t="s">
        <v>187</v>
      </c>
      <c r="D130" t="s">
        <v>20</v>
      </c>
      <c r="H130">
        <v>2.6</v>
      </c>
    </row>
    <row r="131" spans="1:8" x14ac:dyDescent="0.25">
      <c r="A131" t="s">
        <v>352</v>
      </c>
      <c r="B131" t="s">
        <v>356</v>
      </c>
      <c r="C131" t="s">
        <v>187</v>
      </c>
      <c r="D131" t="s">
        <v>20</v>
      </c>
      <c r="H131">
        <v>1.4</v>
      </c>
    </row>
    <row r="132" spans="1:8" x14ac:dyDescent="0.25">
      <c r="A132" t="s">
        <v>352</v>
      </c>
      <c r="B132" t="s">
        <v>357</v>
      </c>
      <c r="C132" t="s">
        <v>187</v>
      </c>
      <c r="D132" t="s">
        <v>20</v>
      </c>
      <c r="H132">
        <v>1.3</v>
      </c>
    </row>
    <row r="133" spans="1:8" x14ac:dyDescent="0.25">
      <c r="A133" t="s">
        <v>352</v>
      </c>
      <c r="B133" t="s">
        <v>358</v>
      </c>
      <c r="C133" t="s">
        <v>187</v>
      </c>
      <c r="D133" t="s">
        <v>20</v>
      </c>
      <c r="H133">
        <v>1.3</v>
      </c>
    </row>
    <row r="134" spans="1:8" x14ac:dyDescent="0.25">
      <c r="A134" t="s">
        <v>352</v>
      </c>
      <c r="B134" t="s">
        <v>359</v>
      </c>
      <c r="C134" t="s">
        <v>187</v>
      </c>
      <c r="D134" t="s">
        <v>20</v>
      </c>
      <c r="H134">
        <v>1.4</v>
      </c>
    </row>
    <row r="135" spans="1:8" x14ac:dyDescent="0.25">
      <c r="A135" t="s">
        <v>352</v>
      </c>
      <c r="B135" t="s">
        <v>360</v>
      </c>
      <c r="C135" t="s">
        <v>187</v>
      </c>
      <c r="D135" t="s">
        <v>20</v>
      </c>
      <c r="H135">
        <v>2.7</v>
      </c>
    </row>
    <row r="136" spans="1:8" x14ac:dyDescent="0.25">
      <c r="A136" t="s">
        <v>352</v>
      </c>
      <c r="B136" t="s">
        <v>361</v>
      </c>
      <c r="C136" t="s">
        <v>187</v>
      </c>
      <c r="D136" t="s">
        <v>20</v>
      </c>
      <c r="H136">
        <v>1.5</v>
      </c>
    </row>
    <row r="137" spans="1:8" x14ac:dyDescent="0.25">
      <c r="A137" t="s">
        <v>352</v>
      </c>
      <c r="B137" t="s">
        <v>362</v>
      </c>
      <c r="C137" t="s">
        <v>187</v>
      </c>
      <c r="D137" t="s">
        <v>20</v>
      </c>
      <c r="H137">
        <v>1.4</v>
      </c>
    </row>
    <row r="138" spans="1:8" x14ac:dyDescent="0.25">
      <c r="A138" t="s">
        <v>352</v>
      </c>
      <c r="B138" t="s">
        <v>363</v>
      </c>
      <c r="C138" t="s">
        <v>187</v>
      </c>
      <c r="D138" t="s">
        <v>20</v>
      </c>
      <c r="H138">
        <v>2.5</v>
      </c>
    </row>
    <row r="139" spans="1:8" x14ac:dyDescent="0.25">
      <c r="A139" t="s">
        <v>352</v>
      </c>
      <c r="B139" t="s">
        <v>364</v>
      </c>
      <c r="C139" t="s">
        <v>187</v>
      </c>
      <c r="D139" t="s">
        <v>20</v>
      </c>
      <c r="H139">
        <v>2.4</v>
      </c>
    </row>
    <row r="140" spans="1:8" x14ac:dyDescent="0.25">
      <c r="A140" t="s">
        <v>352</v>
      </c>
      <c r="B140" t="s">
        <v>365</v>
      </c>
      <c r="C140" t="s">
        <v>187</v>
      </c>
      <c r="D140" t="s">
        <v>20</v>
      </c>
      <c r="H140">
        <v>2.6</v>
      </c>
    </row>
    <row r="141" spans="1:8" x14ac:dyDescent="0.25">
      <c r="A141" t="s">
        <v>352</v>
      </c>
      <c r="B141" t="s">
        <v>366</v>
      </c>
      <c r="C141" t="s">
        <v>187</v>
      </c>
      <c r="D141" t="s">
        <v>20</v>
      </c>
      <c r="H141">
        <v>2.6</v>
      </c>
    </row>
    <row r="142" spans="1:8" x14ac:dyDescent="0.25">
      <c r="A142" t="s">
        <v>352</v>
      </c>
      <c r="B142" t="s">
        <v>367</v>
      </c>
      <c r="C142" t="s">
        <v>187</v>
      </c>
      <c r="D142" t="s">
        <v>20</v>
      </c>
      <c r="H142">
        <v>2.7</v>
      </c>
    </row>
    <row r="143" spans="1:8" x14ac:dyDescent="0.25">
      <c r="A143" t="s">
        <v>352</v>
      </c>
      <c r="B143" t="s">
        <v>368</v>
      </c>
      <c r="C143" t="s">
        <v>338</v>
      </c>
      <c r="D143" t="s">
        <v>20</v>
      </c>
      <c r="H143">
        <v>4.5999999999999996</v>
      </c>
    </row>
    <row r="144" spans="1:8" x14ac:dyDescent="0.25">
      <c r="A144" t="s">
        <v>352</v>
      </c>
      <c r="B144" t="s">
        <v>369</v>
      </c>
      <c r="C144" t="s">
        <v>338</v>
      </c>
      <c r="D144" t="s">
        <v>20</v>
      </c>
      <c r="H144">
        <v>4.5999999999999996</v>
      </c>
    </row>
    <row r="145" spans="1:19" x14ac:dyDescent="0.25">
      <c r="A145" t="s">
        <v>370</v>
      </c>
      <c r="B145" t="s">
        <v>371</v>
      </c>
      <c r="C145" t="s">
        <v>372</v>
      </c>
      <c r="D145" t="s">
        <v>327</v>
      </c>
      <c r="E145">
        <f>F145*0.77730917</f>
        <v>94054.409570000003</v>
      </c>
      <c r="F145">
        <f>10000*12.1</f>
        <v>121000</v>
      </c>
      <c r="J145">
        <f>K145*0.774457288</f>
        <v>6273.1040328000008</v>
      </c>
      <c r="K145">
        <f>10000*0.81</f>
        <v>8100.0000000000009</v>
      </c>
      <c r="L145">
        <f>57*10000</f>
        <v>570000</v>
      </c>
      <c r="M145">
        <v>322</v>
      </c>
      <c r="R145">
        <f>10000*2</f>
        <v>20000</v>
      </c>
      <c r="S145">
        <f>R145*0.603035897</f>
        <v>12060.71794</v>
      </c>
    </row>
    <row r="146" spans="1:19" x14ac:dyDescent="0.25">
      <c r="A146" t="s">
        <v>370</v>
      </c>
      <c r="B146" t="s">
        <v>373</v>
      </c>
      <c r="C146" t="s">
        <v>374</v>
      </c>
      <c r="D146" t="s">
        <v>327</v>
      </c>
      <c r="E146">
        <f t="shared" ref="E146:E162" si="0">F146*0.77730917</f>
        <v>333465.63393000001</v>
      </c>
      <c r="F146">
        <f>10000*42.9</f>
        <v>429000</v>
      </c>
      <c r="J146">
        <f t="shared" ref="J146:J162" si="1">K146*0.774457288</f>
        <v>3562.5035247999999</v>
      </c>
      <c r="K146">
        <f>10000*0.46</f>
        <v>4600</v>
      </c>
      <c r="L146">
        <f>38.7*10000</f>
        <v>387000</v>
      </c>
      <c r="M146">
        <v>464</v>
      </c>
      <c r="R146">
        <f>10000*3.6</f>
        <v>36000</v>
      </c>
      <c r="S146">
        <f t="shared" ref="S146:S162" si="2">R146*0.603035897</f>
        <v>21709.292292000002</v>
      </c>
    </row>
    <row r="147" spans="1:19" x14ac:dyDescent="0.25">
      <c r="A147" t="s">
        <v>370</v>
      </c>
      <c r="B147" t="s">
        <v>375</v>
      </c>
      <c r="C147" t="s">
        <v>374</v>
      </c>
      <c r="D147" t="s">
        <v>327</v>
      </c>
      <c r="E147">
        <f t="shared" si="0"/>
        <v>225419.6593</v>
      </c>
      <c r="F147">
        <f>10000*29</f>
        <v>290000</v>
      </c>
      <c r="J147">
        <f t="shared" si="1"/>
        <v>6040.7668463999998</v>
      </c>
      <c r="K147">
        <f>10000*0.78</f>
        <v>7800</v>
      </c>
      <c r="L147">
        <f>46.4*10000</f>
        <v>464000</v>
      </c>
      <c r="M147">
        <v>325</v>
      </c>
      <c r="R147">
        <f>10000*4.2</f>
        <v>42000</v>
      </c>
      <c r="S147">
        <f t="shared" si="2"/>
        <v>25327.507674</v>
      </c>
    </row>
    <row r="148" spans="1:19" x14ac:dyDescent="0.25">
      <c r="A148" t="s">
        <v>370</v>
      </c>
      <c r="B148" t="s">
        <v>376</v>
      </c>
      <c r="C148" t="s">
        <v>377</v>
      </c>
      <c r="D148" t="s">
        <v>327</v>
      </c>
      <c r="E148">
        <f t="shared" si="0"/>
        <v>152352.59732</v>
      </c>
      <c r="F148">
        <f>10000*19.6</f>
        <v>196000</v>
      </c>
      <c r="L148">
        <f>44.4*10000</f>
        <v>444000</v>
      </c>
      <c r="M148">
        <v>817</v>
      </c>
      <c r="R148">
        <f>10000*8.6</f>
        <v>86000</v>
      </c>
      <c r="S148">
        <f t="shared" si="2"/>
        <v>51861.087142000004</v>
      </c>
    </row>
    <row r="149" spans="1:19" x14ac:dyDescent="0.25">
      <c r="A149" t="s">
        <v>370</v>
      </c>
      <c r="B149" t="s">
        <v>378</v>
      </c>
      <c r="C149" t="s">
        <v>372</v>
      </c>
      <c r="D149" t="s">
        <v>327</v>
      </c>
      <c r="E149">
        <f t="shared" si="0"/>
        <v>120677.2486425</v>
      </c>
      <c r="F149">
        <f>10000*(AVERAGE(18.6,17.5,17.1,17.3,19.4,17.6,16,0.7))</f>
        <v>155250</v>
      </c>
      <c r="J149">
        <f t="shared" si="1"/>
        <v>726.05370749999997</v>
      </c>
      <c r="K149">
        <f>10000*(AVERAGE(0.15,0.15,0.09,0.13,0.02,0.08,0.12,0.01))</f>
        <v>937.5</v>
      </c>
      <c r="L149">
        <f>10000*(AVERAGE(43.2,44.3,43.1,44.7,42.1,43.5,49.4,56.1))</f>
        <v>458000</v>
      </c>
      <c r="M149">
        <f>AVERAGE(660, 755, 761, 799, 1110, 618, 583, 181)</f>
        <v>683.375</v>
      </c>
      <c r="R149">
        <f>10000*(AVERAGE(13.3,16.6,16,16.7,7.4,14.1,13.7,2.1))</f>
        <v>124875</v>
      </c>
      <c r="S149">
        <f t="shared" si="2"/>
        <v>75304.107637875</v>
      </c>
    </row>
    <row r="150" spans="1:19" x14ac:dyDescent="0.25">
      <c r="A150" t="s">
        <v>370</v>
      </c>
      <c r="B150" t="s">
        <v>379</v>
      </c>
      <c r="C150" t="s">
        <v>372</v>
      </c>
      <c r="D150" t="s">
        <v>327</v>
      </c>
      <c r="E150">
        <f t="shared" si="0"/>
        <v>127478.70388000002</v>
      </c>
      <c r="F150">
        <f>10000*(AVERAGE(16.6,16.5,16.1))</f>
        <v>164000.00000000003</v>
      </c>
      <c r="J150">
        <f t="shared" si="1"/>
        <v>1703.8060336000001</v>
      </c>
      <c r="K150">
        <f>10000*(AVERAGE(K21539,0.32,0.12))</f>
        <v>2200</v>
      </c>
      <c r="L150">
        <f>10000*(AVERAGE(48.8,51.8,51.3))</f>
        <v>506333.33333333326</v>
      </c>
      <c r="M150">
        <f>AVERAGE(524,339,638)</f>
        <v>500.33333333333331</v>
      </c>
      <c r="R150">
        <f>10000*(AVERAGE(14.3,13.3,11.6))</f>
        <v>130666.66666666669</v>
      </c>
      <c r="S150">
        <f t="shared" si="2"/>
        <v>78796.690541333344</v>
      </c>
    </row>
    <row r="151" spans="1:19" x14ac:dyDescent="0.25">
      <c r="A151" t="s">
        <v>370</v>
      </c>
      <c r="B151" t="s">
        <v>380</v>
      </c>
      <c r="C151" t="s">
        <v>372</v>
      </c>
      <c r="D151" t="s">
        <v>327</v>
      </c>
      <c r="E151">
        <f t="shared" si="0"/>
        <v>128100.55121599999</v>
      </c>
      <c r="F151">
        <f>10000*(AVERAGE(11.9,16.6,18.2,16.1,19.6))</f>
        <v>164800</v>
      </c>
      <c r="J151">
        <f t="shared" si="1"/>
        <v>898.37045408000017</v>
      </c>
      <c r="K151">
        <f>10000*(AVERAGE(0.09,0.08,0.14,0.09,0.18))</f>
        <v>1160.0000000000002</v>
      </c>
      <c r="L151">
        <f>10000*(AVERAGE(56,47.6,46.3,50.1,42.5))</f>
        <v>484999.99999999994</v>
      </c>
      <c r="M151">
        <f>AVERAGE(283,383,331,285,398)</f>
        <v>336</v>
      </c>
      <c r="R151">
        <f>10000*(AVERAGE(10.7,12.1,14.6,14,14.9))</f>
        <v>132600</v>
      </c>
      <c r="S151">
        <f t="shared" si="2"/>
        <v>79962.559942200009</v>
      </c>
    </row>
    <row r="152" spans="1:19" x14ac:dyDescent="0.25">
      <c r="A152" t="s">
        <v>370</v>
      </c>
      <c r="B152" t="s">
        <v>381</v>
      </c>
      <c r="C152" t="s">
        <v>374</v>
      </c>
      <c r="D152" t="s">
        <v>327</v>
      </c>
      <c r="E152">
        <f t="shared" si="0"/>
        <v>185776.89163</v>
      </c>
      <c r="F152">
        <f>10000*23.9</f>
        <v>239000</v>
      </c>
      <c r="J152">
        <f t="shared" si="1"/>
        <v>2555.7090504000003</v>
      </c>
      <c r="K152">
        <f>10000*0.33</f>
        <v>3300</v>
      </c>
      <c r="L152">
        <f>40*10000</f>
        <v>400000</v>
      </c>
      <c r="M152">
        <v>556</v>
      </c>
      <c r="R152">
        <f>10000*9.4</f>
        <v>94000</v>
      </c>
      <c r="S152">
        <f t="shared" si="2"/>
        <v>56685.374318000002</v>
      </c>
    </row>
    <row r="153" spans="1:19" x14ac:dyDescent="0.25">
      <c r="A153" t="s">
        <v>370</v>
      </c>
      <c r="B153" t="s">
        <v>382</v>
      </c>
      <c r="C153" t="s">
        <v>374</v>
      </c>
      <c r="D153" t="s">
        <v>327</v>
      </c>
      <c r="E153">
        <f t="shared" si="0"/>
        <v>24096.584269999999</v>
      </c>
      <c r="F153">
        <f>10000*(AVERAGE(0.7,5.5))</f>
        <v>31000</v>
      </c>
      <c r="J153">
        <f t="shared" si="1"/>
        <v>348.50577959999998</v>
      </c>
      <c r="K153">
        <f>10000*(AVERAGE(0.03,0.06))</f>
        <v>450</v>
      </c>
      <c r="L153">
        <f>10000*(AVERAGE(63.1,58.1))</f>
        <v>606000</v>
      </c>
      <c r="M153">
        <f>AVERAGE(130,180)</f>
        <v>155</v>
      </c>
      <c r="R153">
        <f>10000*(AVERAGE(0.9,1.4))</f>
        <v>11500</v>
      </c>
      <c r="S153">
        <f t="shared" si="2"/>
        <v>6934.9128155000008</v>
      </c>
    </row>
    <row r="154" spans="1:19" x14ac:dyDescent="0.25">
      <c r="A154" t="s">
        <v>370</v>
      </c>
      <c r="B154" t="s">
        <v>383</v>
      </c>
      <c r="C154" t="s">
        <v>372</v>
      </c>
      <c r="D154" t="s">
        <v>327</v>
      </c>
      <c r="E154">
        <f t="shared" si="0"/>
        <v>272058.2095</v>
      </c>
      <c r="F154">
        <f>10000*35</f>
        <v>350000</v>
      </c>
      <c r="J154">
        <f t="shared" si="1"/>
        <v>7744.5728800000006</v>
      </c>
      <c r="K154">
        <f>10000*1</f>
        <v>10000</v>
      </c>
      <c r="L154">
        <f>42.8*10000</f>
        <v>428000</v>
      </c>
      <c r="M154">
        <v>699</v>
      </c>
      <c r="R154">
        <f>10000*3.7</f>
        <v>37000</v>
      </c>
      <c r="S154">
        <f t="shared" si="2"/>
        <v>22312.328189</v>
      </c>
    </row>
    <row r="155" spans="1:19" x14ac:dyDescent="0.25">
      <c r="A155" t="s">
        <v>370</v>
      </c>
      <c r="B155" t="s">
        <v>384</v>
      </c>
      <c r="C155" t="s">
        <v>372</v>
      </c>
      <c r="D155" t="s">
        <v>327</v>
      </c>
      <c r="E155">
        <f t="shared" si="0"/>
        <v>233192.75099999999</v>
      </c>
      <c r="F155">
        <f>10000*30</f>
        <v>300000</v>
      </c>
      <c r="J155">
        <f t="shared" si="1"/>
        <v>4259.5150840000006</v>
      </c>
      <c r="K155">
        <f>10000*0.55</f>
        <v>5500</v>
      </c>
      <c r="L155">
        <f>39.2*10000</f>
        <v>392000</v>
      </c>
      <c r="M155">
        <v>625</v>
      </c>
      <c r="R155">
        <f>10000*5.1</f>
        <v>51000</v>
      </c>
      <c r="S155">
        <f t="shared" si="2"/>
        <v>30754.830747000004</v>
      </c>
    </row>
    <row r="156" spans="1:19" x14ac:dyDescent="0.25">
      <c r="A156" t="s">
        <v>370</v>
      </c>
      <c r="B156" t="s">
        <v>385</v>
      </c>
      <c r="C156" t="s">
        <v>372</v>
      </c>
      <c r="D156" t="s">
        <v>327</v>
      </c>
      <c r="E156">
        <f t="shared" si="0"/>
        <v>165566.85321</v>
      </c>
      <c r="F156">
        <f>10000*21.3</f>
        <v>213000</v>
      </c>
      <c r="J156">
        <f t="shared" si="1"/>
        <v>2323.3718640000002</v>
      </c>
      <c r="K156">
        <f>10000*0.3</f>
        <v>3000</v>
      </c>
      <c r="L156">
        <f>46.7*10000</f>
        <v>467000</v>
      </c>
      <c r="M156">
        <v>406</v>
      </c>
      <c r="R156">
        <f>10000*7.9</f>
        <v>79000</v>
      </c>
      <c r="S156">
        <f t="shared" si="2"/>
        <v>47639.835863</v>
      </c>
    </row>
    <row r="157" spans="1:19" x14ac:dyDescent="0.25">
      <c r="A157" t="s">
        <v>370</v>
      </c>
      <c r="B157" t="s">
        <v>386</v>
      </c>
      <c r="C157" t="s">
        <v>387</v>
      </c>
      <c r="D157" t="s">
        <v>327</v>
      </c>
      <c r="E157">
        <f t="shared" si="0"/>
        <v>141058.75232058825</v>
      </c>
      <c r="F157">
        <f>10000*(AVERAGE(17.7,17.4,17.9,18.2,18.2,18,18.3,19.5,18.8,21.2,19.9,18.2,16.9,16.5,16.6,17.8,17.4))</f>
        <v>181470.58823529413</v>
      </c>
      <c r="J157">
        <f t="shared" si="1"/>
        <v>73642.283007822232</v>
      </c>
      <c r="K157">
        <f>10000*(AVERAGE(6.94,18.97,20.26,7.34,14.54,11.99,0.37,0.75,4.42))</f>
        <v>95088.888888888905</v>
      </c>
      <c r="L157">
        <f>10000*(AVERAGE(44.1,39.2,39.1,43,38.9,40.7,46,40.3,38.9,37,38.9,41.1,43.4,43.8,43.1,41.3,43))</f>
        <v>412823.5294117647</v>
      </c>
      <c r="M157">
        <f>AVERAGE(208,459,532,215,263,242,161,181,174,347,290,326,251,226,332,291,467)</f>
        <v>292.05882352941177</v>
      </c>
      <c r="P157">
        <f>Q157*0.803391497</f>
        <v>5262.2143053500004</v>
      </c>
      <c r="Q157">
        <f>10000*(AVERAGE(0.69,0.62))</f>
        <v>6550</v>
      </c>
      <c r="R157">
        <f>10000*(AVERAGE(9.6,13.6,14.2,10.4,15.6,13.8,10.4,13.2,14.4,11.9,12.9,12.3,11.3,10.7,11.1,12.9,12.5))</f>
        <v>124000.00000000001</v>
      </c>
      <c r="S157">
        <f t="shared" si="2"/>
        <v>74776.45122800002</v>
      </c>
    </row>
    <row r="158" spans="1:19" x14ac:dyDescent="0.25">
      <c r="A158" t="s">
        <v>370</v>
      </c>
      <c r="B158" t="s">
        <v>388</v>
      </c>
      <c r="C158" t="s">
        <v>387</v>
      </c>
      <c r="D158" t="s">
        <v>327</v>
      </c>
      <c r="E158">
        <f t="shared" si="0"/>
        <v>131883.45584333333</v>
      </c>
      <c r="F158">
        <f>10000*(AVERAGE(16.9,16.6,17.4))</f>
        <v>169666.66666666666</v>
      </c>
      <c r="J158">
        <f t="shared" si="1"/>
        <v>25014.970402400002</v>
      </c>
      <c r="K158">
        <f>10000*(AVERAGE(3.97,2.49))</f>
        <v>32300.000000000004</v>
      </c>
      <c r="L158">
        <f>10000*(AVERAGE(41.4,41.1,42.9))</f>
        <v>418000.00000000006</v>
      </c>
      <c r="M158">
        <f>AVERAGE(214,195,152)</f>
        <v>187</v>
      </c>
      <c r="R158">
        <f>10000*(AVERAGE(13.9,15.3,12))</f>
        <v>137333.33333333334</v>
      </c>
      <c r="S158">
        <f t="shared" si="2"/>
        <v>82816.929854666683</v>
      </c>
    </row>
    <row r="159" spans="1:19" x14ac:dyDescent="0.25">
      <c r="A159" t="s">
        <v>370</v>
      </c>
      <c r="B159" t="s">
        <v>389</v>
      </c>
      <c r="C159" t="s">
        <v>387</v>
      </c>
      <c r="D159" t="s">
        <v>327</v>
      </c>
      <c r="E159">
        <f t="shared" si="0"/>
        <v>141297.5335688889</v>
      </c>
      <c r="F159">
        <f>10000*(AVERAGE(17.3,17.6,18.2,18.3,18.3,18.8,17.9,19.2,18))</f>
        <v>181777.77777777778</v>
      </c>
      <c r="J159">
        <f t="shared" si="1"/>
        <v>44815.261732266663</v>
      </c>
      <c r="K159">
        <f>10000*(AVERAGE(2.95,14.45,4.56,3.07,4.35,5,6.29,5.35,6.06))</f>
        <v>57866.666666666664</v>
      </c>
      <c r="L159">
        <f>10000*(AVERAGE(39.6,38.2,44.4,42.6,43.2,40.2,40.1,40.3,39.5))</f>
        <v>409000.00000000006</v>
      </c>
      <c r="M159">
        <f>AVERAGE(178,308,194,224,228,222,196,226,184)</f>
        <v>217.77777777777777</v>
      </c>
      <c r="P159">
        <f t="shared" ref="P159:P162" si="3">Q159*0.803391497</f>
        <v>8017.8471400600001</v>
      </c>
      <c r="Q159">
        <f>10000*(AVERAGE(0.86,0.88,1.47,0.71,1.07))</f>
        <v>9980</v>
      </c>
      <c r="R159">
        <f>10000*(AVERAGE(16.2,14.8,10.8,12.2,10.2,13.3,15.9,13.8,15.1))</f>
        <v>135888.88888888888</v>
      </c>
      <c r="S159">
        <f t="shared" si="2"/>
        <v>81945.878003444435</v>
      </c>
    </row>
    <row r="160" spans="1:19" x14ac:dyDescent="0.25">
      <c r="A160" t="s">
        <v>370</v>
      </c>
      <c r="B160" t="s">
        <v>390</v>
      </c>
      <c r="C160" t="s">
        <v>387</v>
      </c>
      <c r="D160" t="s">
        <v>327</v>
      </c>
      <c r="E160">
        <f t="shared" si="0"/>
        <v>142247.57811</v>
      </c>
      <c r="F160">
        <f>10000*18.3</f>
        <v>183000</v>
      </c>
      <c r="J160">
        <f t="shared" si="1"/>
        <v>111831.63238720001</v>
      </c>
      <c r="K160">
        <f>10000*14.44</f>
        <v>144400</v>
      </c>
      <c r="L160">
        <f>10000*40.9</f>
        <v>409000</v>
      </c>
      <c r="M160">
        <v>506</v>
      </c>
      <c r="P160">
        <f t="shared" si="3"/>
        <v>13416.6379999</v>
      </c>
      <c r="Q160">
        <f>10000*1.67</f>
        <v>16700</v>
      </c>
      <c r="R160">
        <f>10000*13.8</f>
        <v>138000</v>
      </c>
      <c r="S160">
        <f t="shared" si="2"/>
        <v>83218.953786000013</v>
      </c>
    </row>
    <row r="161" spans="1:19" x14ac:dyDescent="0.25">
      <c r="A161" t="s">
        <v>370</v>
      </c>
      <c r="B161" t="s">
        <v>391</v>
      </c>
      <c r="C161" t="s">
        <v>372</v>
      </c>
      <c r="D161" t="s">
        <v>327</v>
      </c>
      <c r="E161">
        <f t="shared" si="0"/>
        <v>156239.14317</v>
      </c>
      <c r="F161">
        <f>10000*20.1</f>
        <v>201000</v>
      </c>
      <c r="J161">
        <f t="shared" si="1"/>
        <v>2400.8175928000001</v>
      </c>
      <c r="K161">
        <f>10000*0.31</f>
        <v>3100</v>
      </c>
      <c r="L161">
        <f>10000*47.7</f>
        <v>477000</v>
      </c>
      <c r="M161">
        <v>358</v>
      </c>
      <c r="R161">
        <f>10000*8.8</f>
        <v>88000</v>
      </c>
      <c r="S161">
        <f t="shared" si="2"/>
        <v>53067.158936000007</v>
      </c>
    </row>
    <row r="162" spans="1:19" x14ac:dyDescent="0.25">
      <c r="A162" t="s">
        <v>370</v>
      </c>
      <c r="B162" t="s">
        <v>392</v>
      </c>
      <c r="C162" t="s">
        <v>393</v>
      </c>
      <c r="D162" t="s">
        <v>327</v>
      </c>
      <c r="E162">
        <f t="shared" si="0"/>
        <v>92985.609461250002</v>
      </c>
      <c r="F162">
        <f>10000*(AVERAGE(1.2,1.7,26.5,13.8,5.2,24,12.1,11.2))</f>
        <v>119625</v>
      </c>
      <c r="J162">
        <f t="shared" si="1"/>
        <v>2904.2148299999999</v>
      </c>
      <c r="K162">
        <f>10000*(AVERAGE(0.09,0.01,1.29,0.17,0.02,0.67))</f>
        <v>3750</v>
      </c>
      <c r="L162">
        <f>10000*(AVERAGE(53,58.3,38.6,51.3,54.8,37.8))</f>
        <v>489666.66666666669</v>
      </c>
      <c r="M162">
        <f>AVERAGE(581,67,524,646,1005,574)</f>
        <v>566.16666666666663</v>
      </c>
      <c r="P162">
        <f t="shared" si="3"/>
        <v>6748.4885747999997</v>
      </c>
      <c r="Q162">
        <f>10000*(AVERAGE(0.9,0.78))</f>
        <v>8400</v>
      </c>
      <c r="R162">
        <f>10000*(AVERAGE(0.9,0.6,3.5,2.9,1.5,4.4,2.3,1.5))</f>
        <v>22000</v>
      </c>
      <c r="S162">
        <f t="shared" si="2"/>
        <v>13266.789734000002</v>
      </c>
    </row>
    <row r="163" spans="1:19" x14ac:dyDescent="0.25">
      <c r="A163" t="s">
        <v>394</v>
      </c>
      <c r="B163" t="s">
        <v>395</v>
      </c>
      <c r="C163" t="s">
        <v>187</v>
      </c>
      <c r="D163" t="s">
        <v>396</v>
      </c>
      <c r="E163">
        <v>37066.812778</v>
      </c>
      <c r="G163">
        <f>10.6*10000</f>
        <v>106000</v>
      </c>
      <c r="J163">
        <v>712.50070496000001</v>
      </c>
      <c r="K163">
        <v>920</v>
      </c>
      <c r="M163">
        <v>63.2</v>
      </c>
      <c r="N163">
        <v>150</v>
      </c>
      <c r="P163">
        <v>135</v>
      </c>
      <c r="R163">
        <f>3.84*10000</f>
        <v>38400</v>
      </c>
      <c r="S163">
        <v>23156.578444800001</v>
      </c>
    </row>
    <row r="164" spans="1:19" x14ac:dyDescent="0.25">
      <c r="A164" t="s">
        <v>394</v>
      </c>
      <c r="B164" t="s">
        <v>397</v>
      </c>
      <c r="C164" t="s">
        <v>187</v>
      </c>
      <c r="D164" t="s">
        <v>396</v>
      </c>
      <c r="E164">
        <v>43011.490298999997</v>
      </c>
      <c r="G164">
        <v>123000</v>
      </c>
      <c r="J164">
        <v>1115.2184947200001</v>
      </c>
      <c r="K164">
        <v>1440</v>
      </c>
      <c r="M164">
        <v>63</v>
      </c>
      <c r="N164">
        <v>159</v>
      </c>
      <c r="P164">
        <v>128</v>
      </c>
      <c r="R164">
        <v>34700</v>
      </c>
      <c r="S164">
        <v>20925.345625900001</v>
      </c>
    </row>
    <row r="165" spans="1:19" x14ac:dyDescent="0.25">
      <c r="A165" t="s">
        <v>394</v>
      </c>
      <c r="B165" t="s">
        <v>398</v>
      </c>
      <c r="C165" t="s">
        <v>187</v>
      </c>
      <c r="D165" t="s">
        <v>396</v>
      </c>
      <c r="E165">
        <v>40913.368820999996</v>
      </c>
      <c r="G165">
        <v>117000</v>
      </c>
      <c r="J165">
        <v>999.04990152000005</v>
      </c>
      <c r="K165">
        <v>1290</v>
      </c>
      <c r="M165">
        <v>65.5</v>
      </c>
      <c r="N165">
        <v>225</v>
      </c>
      <c r="P165">
        <v>133</v>
      </c>
      <c r="R165">
        <v>59300</v>
      </c>
      <c r="S165">
        <v>35760.028692100001</v>
      </c>
    </row>
    <row r="166" spans="1:19" x14ac:dyDescent="0.25">
      <c r="A166" t="s">
        <v>394</v>
      </c>
      <c r="B166" t="s">
        <v>399</v>
      </c>
      <c r="C166" t="s">
        <v>187</v>
      </c>
      <c r="D166" t="s">
        <v>396</v>
      </c>
      <c r="E166">
        <v>34444.160930500002</v>
      </c>
      <c r="G166">
        <v>98500</v>
      </c>
      <c r="J166">
        <v>720.24527783999997</v>
      </c>
      <c r="K166">
        <v>930</v>
      </c>
      <c r="M166">
        <v>58.9</v>
      </c>
      <c r="N166">
        <v>218</v>
      </c>
      <c r="P166">
        <v>95.5</v>
      </c>
      <c r="R166">
        <v>50800</v>
      </c>
      <c r="S166">
        <v>30634.223567600002</v>
      </c>
    </row>
    <row r="167" spans="1:19" x14ac:dyDescent="0.25">
      <c r="A167" t="s">
        <v>394</v>
      </c>
      <c r="B167" t="s">
        <v>400</v>
      </c>
      <c r="C167" t="s">
        <v>187</v>
      </c>
      <c r="D167" t="s">
        <v>396</v>
      </c>
      <c r="E167">
        <v>29723.387605</v>
      </c>
      <c r="G167">
        <v>85000</v>
      </c>
      <c r="J167">
        <v>689.26698632</v>
      </c>
      <c r="K167">
        <v>890</v>
      </c>
      <c r="M167">
        <v>65.7</v>
      </c>
      <c r="N167">
        <v>231</v>
      </c>
      <c r="P167">
        <v>95.9</v>
      </c>
      <c r="R167">
        <v>32600</v>
      </c>
      <c r="S167">
        <v>19658.970242200001</v>
      </c>
    </row>
    <row r="168" spans="1:19" x14ac:dyDescent="0.25">
      <c r="A168" t="s">
        <v>394</v>
      </c>
      <c r="B168" t="s">
        <v>401</v>
      </c>
      <c r="C168" t="s">
        <v>187</v>
      </c>
      <c r="D168" t="s">
        <v>396</v>
      </c>
      <c r="E168">
        <v>32975.475895899996</v>
      </c>
      <c r="G168">
        <v>94300</v>
      </c>
      <c r="J168">
        <v>704.75613208000004</v>
      </c>
      <c r="K168">
        <v>910</v>
      </c>
      <c r="M168">
        <v>71.900000000000006</v>
      </c>
      <c r="N168">
        <v>181</v>
      </c>
      <c r="P168">
        <v>108</v>
      </c>
      <c r="R168">
        <v>35200</v>
      </c>
      <c r="S168">
        <v>21226.863574400002</v>
      </c>
    </row>
    <row r="169" spans="1:19" x14ac:dyDescent="0.25">
      <c r="A169" t="s">
        <v>394</v>
      </c>
      <c r="B169" t="s">
        <v>402</v>
      </c>
      <c r="C169" t="s">
        <v>187</v>
      </c>
      <c r="D169" t="s">
        <v>396</v>
      </c>
      <c r="E169">
        <v>31716.603009099999</v>
      </c>
      <c r="G169">
        <v>90700</v>
      </c>
      <c r="J169">
        <v>642.79954903999999</v>
      </c>
      <c r="K169">
        <v>830</v>
      </c>
      <c r="M169">
        <v>58.1</v>
      </c>
      <c r="N169">
        <v>153</v>
      </c>
      <c r="P169">
        <v>117</v>
      </c>
      <c r="R169">
        <v>29700</v>
      </c>
      <c r="S169">
        <v>17910.166140900001</v>
      </c>
    </row>
    <row r="170" spans="1:19" x14ac:dyDescent="0.25">
      <c r="A170" t="s">
        <v>394</v>
      </c>
      <c r="B170" t="s">
        <v>403</v>
      </c>
      <c r="C170" t="s">
        <v>187</v>
      </c>
      <c r="D170" t="s">
        <v>396</v>
      </c>
      <c r="E170">
        <v>43011.490298999997</v>
      </c>
      <c r="G170">
        <v>123000</v>
      </c>
      <c r="J170">
        <v>960.32703712</v>
      </c>
      <c r="K170">
        <v>1240</v>
      </c>
      <c r="M170">
        <v>97.7</v>
      </c>
      <c r="N170">
        <v>265</v>
      </c>
      <c r="P170">
        <v>128</v>
      </c>
      <c r="R170">
        <v>25100</v>
      </c>
      <c r="S170">
        <v>15136.201014700002</v>
      </c>
    </row>
    <row r="171" spans="1:19" x14ac:dyDescent="0.25">
      <c r="A171" t="s">
        <v>394</v>
      </c>
      <c r="B171" t="s">
        <v>404</v>
      </c>
      <c r="C171" t="s">
        <v>187</v>
      </c>
      <c r="D171" t="s">
        <v>396</v>
      </c>
      <c r="E171">
        <v>37066.812778</v>
      </c>
      <c r="G171">
        <v>106000</v>
      </c>
      <c r="J171">
        <v>635.05497616000002</v>
      </c>
      <c r="K171">
        <v>820</v>
      </c>
      <c r="M171">
        <v>77.2</v>
      </c>
      <c r="N171">
        <v>131</v>
      </c>
      <c r="P171">
        <v>116</v>
      </c>
      <c r="R171">
        <v>31700</v>
      </c>
      <c r="S171">
        <v>19116.2379349</v>
      </c>
    </row>
    <row r="172" spans="1:19" x14ac:dyDescent="0.25">
      <c r="A172" t="s">
        <v>394</v>
      </c>
      <c r="B172" t="s">
        <v>405</v>
      </c>
      <c r="C172" t="s">
        <v>187</v>
      </c>
      <c r="D172" t="s">
        <v>396</v>
      </c>
      <c r="E172">
        <v>38815.247342999995</v>
      </c>
      <c r="G172">
        <v>111000</v>
      </c>
      <c r="J172">
        <v>859.64758968000001</v>
      </c>
      <c r="K172">
        <v>1110</v>
      </c>
      <c r="M172">
        <v>60.8</v>
      </c>
      <c r="N172">
        <v>226</v>
      </c>
      <c r="P172">
        <v>118</v>
      </c>
      <c r="R172">
        <v>65200</v>
      </c>
      <c r="S172">
        <v>39317.940484400002</v>
      </c>
    </row>
    <row r="173" spans="1:19" x14ac:dyDescent="0.25">
      <c r="A173" t="s">
        <v>394</v>
      </c>
      <c r="B173" t="s">
        <v>406</v>
      </c>
      <c r="C173" t="s">
        <v>187</v>
      </c>
      <c r="D173" t="s">
        <v>396</v>
      </c>
      <c r="E173">
        <v>43011.490298999997</v>
      </c>
      <c r="G173">
        <v>123000</v>
      </c>
      <c r="J173">
        <v>1153.94135912</v>
      </c>
      <c r="K173">
        <v>1490</v>
      </c>
      <c r="M173">
        <v>249</v>
      </c>
      <c r="N173">
        <v>74</v>
      </c>
      <c r="P173">
        <v>180</v>
      </c>
      <c r="R173">
        <v>33100</v>
      </c>
      <c r="S173">
        <v>19960.488190700002</v>
      </c>
    </row>
    <row r="174" spans="1:19" x14ac:dyDescent="0.25">
      <c r="A174" t="s">
        <v>394</v>
      </c>
      <c r="B174" t="s">
        <v>407</v>
      </c>
      <c r="C174" t="s">
        <v>187</v>
      </c>
      <c r="D174" t="s">
        <v>396</v>
      </c>
      <c r="E174">
        <v>43361.177211999995</v>
      </c>
      <c r="G174">
        <v>124000</v>
      </c>
      <c r="J174">
        <v>890.62588119999998</v>
      </c>
      <c r="K174">
        <v>1150</v>
      </c>
      <c r="M174">
        <v>50.2</v>
      </c>
      <c r="N174">
        <v>10.8</v>
      </c>
      <c r="P174">
        <v>191</v>
      </c>
      <c r="R174">
        <v>27400</v>
      </c>
      <c r="S174">
        <v>16523.183577800002</v>
      </c>
    </row>
    <row r="175" spans="1:19" x14ac:dyDescent="0.25">
      <c r="A175" t="s">
        <v>394</v>
      </c>
      <c r="B175" t="s">
        <v>408</v>
      </c>
      <c r="C175" t="s">
        <v>187</v>
      </c>
      <c r="D175" t="s">
        <v>396</v>
      </c>
      <c r="E175">
        <v>33500.006265399999</v>
      </c>
      <c r="G175">
        <v>95800</v>
      </c>
      <c r="J175">
        <v>689.26698632</v>
      </c>
      <c r="K175">
        <v>890</v>
      </c>
      <c r="M175">
        <v>74.900000000000006</v>
      </c>
      <c r="N175">
        <v>121</v>
      </c>
      <c r="P175">
        <v>148</v>
      </c>
      <c r="R175">
        <v>65000</v>
      </c>
      <c r="S175">
        <v>39197.333305</v>
      </c>
    </row>
    <row r="176" spans="1:19" x14ac:dyDescent="0.25">
      <c r="A176" t="s">
        <v>394</v>
      </c>
      <c r="B176" t="s">
        <v>409</v>
      </c>
      <c r="C176" t="s">
        <v>187</v>
      </c>
      <c r="D176" t="s">
        <v>396</v>
      </c>
      <c r="E176">
        <v>60495.835949</v>
      </c>
      <c r="G176">
        <v>173000</v>
      </c>
      <c r="J176">
        <v>751.22356936000006</v>
      </c>
      <c r="K176">
        <v>970</v>
      </c>
      <c r="M176">
        <v>176</v>
      </c>
      <c r="N176">
        <v>63.3</v>
      </c>
      <c r="P176">
        <v>185</v>
      </c>
      <c r="R176">
        <v>19300</v>
      </c>
      <c r="S176">
        <v>11638.592812100002</v>
      </c>
    </row>
    <row r="177" spans="1:19" x14ac:dyDescent="0.25">
      <c r="A177" t="s">
        <v>394</v>
      </c>
      <c r="B177" t="s">
        <v>410</v>
      </c>
      <c r="C177" t="s">
        <v>187</v>
      </c>
      <c r="D177" t="s">
        <v>396</v>
      </c>
      <c r="E177">
        <v>51054.289297999996</v>
      </c>
      <c r="G177">
        <v>146000</v>
      </c>
      <c r="J177">
        <v>1301.0882438400001</v>
      </c>
      <c r="K177">
        <v>1680</v>
      </c>
      <c r="M177">
        <v>99.6</v>
      </c>
      <c r="N177">
        <v>71.400000000000006</v>
      </c>
      <c r="P177">
        <v>127</v>
      </c>
      <c r="R177">
        <v>50300</v>
      </c>
      <c r="S177">
        <v>30332.705619100001</v>
      </c>
    </row>
    <row r="178" spans="1:19" x14ac:dyDescent="0.25">
      <c r="A178" t="s">
        <v>394</v>
      </c>
      <c r="B178" t="s">
        <v>411</v>
      </c>
      <c r="C178" t="s">
        <v>187</v>
      </c>
      <c r="D178" t="s">
        <v>396</v>
      </c>
      <c r="E178">
        <v>51403.976211000001</v>
      </c>
      <c r="G178">
        <v>147000</v>
      </c>
      <c r="J178">
        <v>1455.9797014400001</v>
      </c>
      <c r="K178">
        <v>1880</v>
      </c>
      <c r="M178">
        <v>160</v>
      </c>
      <c r="N178">
        <v>52.1</v>
      </c>
      <c r="P178">
        <v>161</v>
      </c>
      <c r="R178">
        <v>45700</v>
      </c>
      <c r="S178">
        <v>27558.7404929</v>
      </c>
    </row>
    <row r="179" spans="1:19" x14ac:dyDescent="0.25">
      <c r="A179" t="s">
        <v>394</v>
      </c>
      <c r="B179" t="s">
        <v>412</v>
      </c>
      <c r="C179" t="s">
        <v>187</v>
      </c>
      <c r="D179" t="s">
        <v>396</v>
      </c>
      <c r="E179">
        <v>51054.289297999996</v>
      </c>
      <c r="G179">
        <v>146000</v>
      </c>
      <c r="J179">
        <v>1076.4956303199999</v>
      </c>
      <c r="K179">
        <v>1390</v>
      </c>
      <c r="M179">
        <v>189</v>
      </c>
      <c r="N179">
        <v>52.6</v>
      </c>
      <c r="P179">
        <v>214</v>
      </c>
      <c r="R179">
        <v>37800</v>
      </c>
      <c r="S179">
        <v>22794.756906600003</v>
      </c>
    </row>
    <row r="180" spans="1:19" x14ac:dyDescent="0.25">
      <c r="A180" t="s">
        <v>413</v>
      </c>
      <c r="B180" t="s">
        <v>414</v>
      </c>
      <c r="C180" t="s">
        <v>414</v>
      </c>
      <c r="D180" t="s">
        <v>414</v>
      </c>
      <c r="E180">
        <f>F180*0.77730917</f>
        <v>39176.382167999996</v>
      </c>
      <c r="F180">
        <f>10000*5.04</f>
        <v>50400</v>
      </c>
      <c r="H180">
        <v>1.1000000000000001</v>
      </c>
      <c r="I180">
        <v>97</v>
      </c>
      <c r="J180">
        <f>K180*0.774457288</f>
        <v>774.45728800000006</v>
      </c>
      <c r="K180">
        <f>10000*0.1</f>
        <v>1000</v>
      </c>
      <c r="L180">
        <f>10000*66.62</f>
        <v>666200</v>
      </c>
      <c r="M180">
        <v>28</v>
      </c>
      <c r="N180">
        <v>47</v>
      </c>
      <c r="O180">
        <v>17.3</v>
      </c>
      <c r="P180">
        <v>67</v>
      </c>
      <c r="R180">
        <f>10000*2.48</f>
        <v>24800</v>
      </c>
      <c r="S180">
        <f>R180*0.603035897</f>
        <v>14955.290245600001</v>
      </c>
    </row>
  </sheetData>
  <autoFilter ref="A1:V180" xr:uid="{B1FCCABC-6429-FD4A-BE45-FAC7A274249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1AACB-59AC-7D45-8371-935894833DA1}">
  <dimension ref="A1:L19"/>
  <sheetViews>
    <sheetView zoomScaleNormal="100" workbookViewId="0">
      <selection activeCell="C26" sqref="C26"/>
    </sheetView>
  </sheetViews>
  <sheetFormatPr defaultColWidth="11" defaultRowHeight="15.75" x14ac:dyDescent="0.25"/>
  <cols>
    <col min="1" max="1" width="42.625" bestFit="1" customWidth="1"/>
    <col min="12" max="12" width="38" bestFit="1" customWidth="1"/>
  </cols>
  <sheetData>
    <row r="1" spans="1:12" s="13" customFormat="1" x14ac:dyDescent="0.25">
      <c r="A1" s="12" t="s">
        <v>177</v>
      </c>
      <c r="B1" s="12" t="s">
        <v>178</v>
      </c>
      <c r="C1" s="12" t="s">
        <v>184</v>
      </c>
      <c r="D1" s="12" t="s">
        <v>183</v>
      </c>
      <c r="E1" s="12" t="s">
        <v>181</v>
      </c>
      <c r="F1" s="12" t="s">
        <v>182</v>
      </c>
      <c r="G1" s="12" t="s">
        <v>186</v>
      </c>
      <c r="H1" s="12" t="s">
        <v>180</v>
      </c>
      <c r="I1" s="12" t="s">
        <v>185</v>
      </c>
      <c r="J1" s="12" t="s">
        <v>179</v>
      </c>
    </row>
    <row r="2" spans="1:12" x14ac:dyDescent="0.25">
      <c r="A2" s="10" t="s">
        <v>446</v>
      </c>
      <c r="B2" s="10">
        <v>47427.356214545012</v>
      </c>
      <c r="C2" s="14">
        <v>27959.789831304999</v>
      </c>
      <c r="D2" s="10">
        <v>1002.916901052</v>
      </c>
      <c r="E2" s="10">
        <v>97.498000000000019</v>
      </c>
      <c r="F2" s="10">
        <v>140.47050000000002</v>
      </c>
      <c r="G2" s="10">
        <v>133.2045</v>
      </c>
      <c r="H2" s="10">
        <v>252.4</v>
      </c>
      <c r="I2" s="10">
        <v>51.633333333333333</v>
      </c>
      <c r="J2" s="10">
        <v>1.0157692307692305</v>
      </c>
      <c r="L2" s="13"/>
    </row>
    <row r="3" spans="1:12" x14ac:dyDescent="0.25">
      <c r="A3" s="10" t="s">
        <v>447</v>
      </c>
      <c r="B3" s="10">
        <v>9228.6388748347053</v>
      </c>
      <c r="C3" s="10">
        <v>1780.9660152903077</v>
      </c>
      <c r="D3" s="10">
        <v>431.11483833615983</v>
      </c>
      <c r="E3" s="10">
        <v>7.772846071233932</v>
      </c>
      <c r="F3" s="10">
        <v>3.685631991397933</v>
      </c>
      <c r="G3" s="10">
        <v>137.58167722796981</v>
      </c>
      <c r="H3" s="10">
        <v>4.165266964288552</v>
      </c>
      <c r="I3" s="10">
        <v>0.95353353719571743</v>
      </c>
      <c r="J3" s="10">
        <v>3.5950000000000002</v>
      </c>
      <c r="L3" s="13"/>
    </row>
    <row r="4" spans="1:12" x14ac:dyDescent="0.25">
      <c r="A4" s="10" t="s">
        <v>441</v>
      </c>
      <c r="B4" s="10">
        <v>13043.321853475265</v>
      </c>
      <c r="C4" s="10">
        <v>723.64307619019257</v>
      </c>
      <c r="D4" s="10">
        <v>774.45728784888638</v>
      </c>
      <c r="E4" s="10">
        <v>10</v>
      </c>
      <c r="F4" s="10"/>
      <c r="G4" s="10">
        <v>120</v>
      </c>
      <c r="H4" s="10">
        <v>0</v>
      </c>
      <c r="I4" s="10">
        <v>1</v>
      </c>
      <c r="J4" s="10">
        <v>3.59</v>
      </c>
    </row>
    <row r="5" spans="1:12" x14ac:dyDescent="0.25">
      <c r="A5" s="10" t="s">
        <v>445</v>
      </c>
      <c r="B5" s="10">
        <v>39176.382167999996</v>
      </c>
      <c r="C5" s="10">
        <v>14955.290245600001</v>
      </c>
      <c r="D5" s="10">
        <v>774.45728800000006</v>
      </c>
      <c r="E5" s="10">
        <v>28</v>
      </c>
      <c r="F5" s="10">
        <v>47</v>
      </c>
      <c r="G5" s="10">
        <v>67</v>
      </c>
      <c r="H5" s="10">
        <v>97</v>
      </c>
      <c r="I5" s="10">
        <v>17.3</v>
      </c>
      <c r="J5" s="10">
        <v>1.1000000000000001</v>
      </c>
    </row>
    <row r="6" spans="1:12" x14ac:dyDescent="0.25">
      <c r="A6" s="10" t="s">
        <v>415</v>
      </c>
      <c r="B6" s="14">
        <v>108337.46555035911</v>
      </c>
      <c r="C6" s="10">
        <v>51182.67175787501</v>
      </c>
      <c r="D6" s="10">
        <v>1945.8254883408606</v>
      </c>
      <c r="E6" s="10"/>
      <c r="F6" s="10">
        <v>474.25</v>
      </c>
      <c r="G6" s="10">
        <v>339.75</v>
      </c>
      <c r="H6" s="10"/>
      <c r="I6" s="10"/>
      <c r="J6" s="10"/>
    </row>
    <row r="7" spans="1:12" x14ac:dyDescent="0.25">
      <c r="A7" s="10" t="s">
        <v>444</v>
      </c>
      <c r="B7" s="11">
        <v>92985.609460000007</v>
      </c>
      <c r="C7" s="10">
        <v>13266.789734000002</v>
      </c>
      <c r="D7" s="10">
        <v>2904.2148299999999</v>
      </c>
      <c r="E7" s="10">
        <v>566.16666666666663</v>
      </c>
      <c r="F7" s="10"/>
      <c r="G7" s="10">
        <v>6748.4885747999997</v>
      </c>
      <c r="H7" s="10"/>
      <c r="I7" s="10"/>
      <c r="J7" s="10"/>
    </row>
    <row r="8" spans="1:12" x14ac:dyDescent="0.25">
      <c r="A8" s="10" t="s">
        <v>416</v>
      </c>
      <c r="B8" s="11">
        <v>192189.69228249998</v>
      </c>
      <c r="C8" s="10">
        <v>27664.271774875004</v>
      </c>
      <c r="D8" s="10">
        <v>3126.8713003000003</v>
      </c>
      <c r="E8" s="10">
        <v>375</v>
      </c>
      <c r="F8" s="10"/>
      <c r="G8" s="10"/>
      <c r="H8" s="10"/>
      <c r="I8" s="10"/>
      <c r="J8" s="10"/>
    </row>
    <row r="9" spans="1:12" x14ac:dyDescent="0.25">
      <c r="A9" s="10" t="s">
        <v>417</v>
      </c>
      <c r="B9" s="11">
        <v>162170.9837735625</v>
      </c>
      <c r="C9" s="10">
        <v>49987.278724551055</v>
      </c>
      <c r="D9" s="10">
        <v>3291.2014560975003</v>
      </c>
      <c r="E9" s="10">
        <v>491.21354166666663</v>
      </c>
      <c r="F9" s="10"/>
      <c r="G9" s="10"/>
      <c r="H9" s="10"/>
      <c r="I9" s="10"/>
      <c r="J9" s="10"/>
    </row>
    <row r="10" spans="1:12" x14ac:dyDescent="0.25">
      <c r="A10" s="10" t="s">
        <v>418</v>
      </c>
      <c r="B10" s="11">
        <v>147250</v>
      </c>
      <c r="C10" s="10">
        <v>79875</v>
      </c>
      <c r="D10" s="10">
        <v>3767.5</v>
      </c>
      <c r="E10" s="10">
        <v>16</v>
      </c>
      <c r="F10" s="10">
        <v>51.6666667</v>
      </c>
      <c r="G10" s="10">
        <v>99.5</v>
      </c>
      <c r="H10" s="10">
        <v>229.25</v>
      </c>
      <c r="I10" s="10">
        <v>43</v>
      </c>
      <c r="J10" s="10">
        <v>0.37</v>
      </c>
    </row>
    <row r="11" spans="1:12" x14ac:dyDescent="0.25">
      <c r="A11" s="10" t="s">
        <v>440</v>
      </c>
      <c r="B11" s="10">
        <v>212000</v>
      </c>
      <c r="C11" s="10">
        <v>192000</v>
      </c>
      <c r="D11" s="10">
        <v>4120</v>
      </c>
      <c r="E11" s="10">
        <v>2.6</v>
      </c>
      <c r="F11" s="10">
        <v>500</v>
      </c>
      <c r="G11" s="10">
        <v>72</v>
      </c>
      <c r="H11" s="10">
        <v>39</v>
      </c>
      <c r="I11" s="10">
        <v>123</v>
      </c>
      <c r="J11" s="10"/>
    </row>
    <row r="12" spans="1:12" x14ac:dyDescent="0.25">
      <c r="A12" s="10" t="s">
        <v>419</v>
      </c>
      <c r="B12" s="10">
        <v>152000</v>
      </c>
      <c r="C12" s="10">
        <v>160250</v>
      </c>
      <c r="D12" s="10">
        <v>3645</v>
      </c>
      <c r="E12" s="10">
        <v>5.0999999999999996</v>
      </c>
      <c r="F12" s="10">
        <v>285</v>
      </c>
      <c r="G12" s="10">
        <v>60</v>
      </c>
      <c r="H12" s="10">
        <v>166</v>
      </c>
      <c r="I12" s="10">
        <v>68.5</v>
      </c>
      <c r="J12" s="10">
        <v>0.2</v>
      </c>
    </row>
    <row r="13" spans="1:12" x14ac:dyDescent="0.25">
      <c r="A13" s="10" t="s">
        <v>434</v>
      </c>
      <c r="B13" s="10">
        <v>160333.33333333334</v>
      </c>
      <c r="C13" s="10">
        <v>72333.333333333328</v>
      </c>
      <c r="D13" s="10">
        <v>4300</v>
      </c>
      <c r="E13" s="10">
        <v>12</v>
      </c>
      <c r="F13" s="10">
        <v>88.666666666666671</v>
      </c>
      <c r="G13" s="10">
        <v>66</v>
      </c>
      <c r="H13" s="10">
        <v>180.5</v>
      </c>
      <c r="I13" s="10">
        <v>45.5</v>
      </c>
      <c r="J13" s="10">
        <v>8.5999999999999993E-2</v>
      </c>
    </row>
    <row r="14" spans="1:12" x14ac:dyDescent="0.25">
      <c r="A14" s="10" t="s">
        <v>420</v>
      </c>
      <c r="B14" s="10">
        <v>139000</v>
      </c>
      <c r="C14" s="10">
        <v>68350</v>
      </c>
      <c r="D14" s="10">
        <v>3500</v>
      </c>
      <c r="E14" s="10"/>
      <c r="F14" s="10">
        <v>104</v>
      </c>
      <c r="G14" s="10">
        <v>82</v>
      </c>
      <c r="H14" s="10">
        <v>200</v>
      </c>
      <c r="I14" s="10">
        <v>38.5</v>
      </c>
      <c r="J14" s="10"/>
    </row>
    <row r="15" spans="1:12" x14ac:dyDescent="0.25">
      <c r="A15" s="10" t="s">
        <v>442</v>
      </c>
      <c r="B15" s="10">
        <v>136000</v>
      </c>
      <c r="C15" s="10">
        <v>151000</v>
      </c>
      <c r="D15" s="10">
        <v>3560</v>
      </c>
      <c r="E15" s="10"/>
      <c r="F15" s="10">
        <v>5.8</v>
      </c>
      <c r="G15" s="10">
        <v>92</v>
      </c>
      <c r="H15" s="10">
        <v>201</v>
      </c>
      <c r="I15" s="10">
        <v>47</v>
      </c>
      <c r="J15" s="10"/>
    </row>
    <row r="17" spans="1:1" x14ac:dyDescent="0.25">
      <c r="A17" s="18" t="s">
        <v>443</v>
      </c>
    </row>
    <row r="18" spans="1:1" x14ac:dyDescent="0.25">
      <c r="A18" s="19" t="s">
        <v>448</v>
      </c>
    </row>
    <row r="19" spans="1:1" x14ac:dyDescent="0.25">
      <c r="A19" s="20" t="s">
        <v>449</v>
      </c>
    </row>
  </sheetData>
  <autoFilter ref="A1:J1" xr:uid="{A071AACB-59AC-7D45-8371-935894833DA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0468C-28C5-D943-8CF2-54473E8549B0}">
  <dimension ref="A1:A41"/>
  <sheetViews>
    <sheetView workbookViewId="0">
      <selection activeCell="B22" sqref="B22"/>
    </sheetView>
  </sheetViews>
  <sheetFormatPr defaultColWidth="10.875" defaultRowHeight="15.75" x14ac:dyDescent="0.25"/>
  <cols>
    <col min="1" max="16384" width="10.875" style="22"/>
  </cols>
  <sheetData>
    <row r="1" spans="1:1" x14ac:dyDescent="0.25">
      <c r="A1" s="23" t="s">
        <v>189</v>
      </c>
    </row>
    <row r="2" spans="1:1" x14ac:dyDescent="0.25">
      <c r="A2" s="24"/>
    </row>
    <row r="3" spans="1:1" x14ac:dyDescent="0.25">
      <c r="A3" s="25" t="s">
        <v>450</v>
      </c>
    </row>
    <row r="4" spans="1:1" x14ac:dyDescent="0.25">
      <c r="A4" s="25" t="s">
        <v>451</v>
      </c>
    </row>
    <row r="5" spans="1:1" x14ac:dyDescent="0.25">
      <c r="A5" s="25" t="s">
        <v>452</v>
      </c>
    </row>
    <row r="6" spans="1:1" x14ac:dyDescent="0.25">
      <c r="A6" s="25" t="s">
        <v>453</v>
      </c>
    </row>
    <row r="7" spans="1:1" x14ac:dyDescent="0.25">
      <c r="A7" s="24" t="s">
        <v>432</v>
      </c>
    </row>
    <row r="8" spans="1:1" x14ac:dyDescent="0.25">
      <c r="A8" s="25" t="s">
        <v>454</v>
      </c>
    </row>
    <row r="9" spans="1:1" x14ac:dyDescent="0.25">
      <c r="A9" s="25" t="s">
        <v>455</v>
      </c>
    </row>
    <row r="10" spans="1:1" x14ac:dyDescent="0.25">
      <c r="A10" s="25" t="s">
        <v>456</v>
      </c>
    </row>
    <row r="11" spans="1:1" x14ac:dyDescent="0.25">
      <c r="A11" s="25" t="s">
        <v>457</v>
      </c>
    </row>
    <row r="12" spans="1:1" x14ac:dyDescent="0.25">
      <c r="A12" s="24" t="s">
        <v>458</v>
      </c>
    </row>
    <row r="13" spans="1:1" x14ac:dyDescent="0.25">
      <c r="A13" s="25" t="s">
        <v>459</v>
      </c>
    </row>
    <row r="14" spans="1:1" x14ac:dyDescent="0.25">
      <c r="A14" s="25" t="s">
        <v>460</v>
      </c>
    </row>
    <row r="15" spans="1:1" x14ac:dyDescent="0.25">
      <c r="A15" s="25" t="s">
        <v>461</v>
      </c>
    </row>
    <row r="16" spans="1:1" x14ac:dyDescent="0.25">
      <c r="A16" s="25" t="s">
        <v>462</v>
      </c>
    </row>
    <row r="17" spans="1:1" x14ac:dyDescent="0.25">
      <c r="A17" s="24"/>
    </row>
    <row r="18" spans="1:1" x14ac:dyDescent="0.25">
      <c r="A18" s="24"/>
    </row>
    <row r="19" spans="1:1" x14ac:dyDescent="0.25">
      <c r="A19" s="24"/>
    </row>
    <row r="20" spans="1:1" x14ac:dyDescent="0.25">
      <c r="A20" s="24"/>
    </row>
    <row r="21" spans="1:1" x14ac:dyDescent="0.25">
      <c r="A21" s="24"/>
    </row>
    <row r="22" spans="1:1" x14ac:dyDescent="0.25">
      <c r="A22" s="24"/>
    </row>
    <row r="23" spans="1:1" x14ac:dyDescent="0.25">
      <c r="A23" s="24"/>
    </row>
    <row r="24" spans="1:1" x14ac:dyDescent="0.25">
      <c r="A24" s="24"/>
    </row>
    <row r="25" spans="1:1" x14ac:dyDescent="0.25">
      <c r="A25" s="24"/>
    </row>
    <row r="26" spans="1:1" x14ac:dyDescent="0.25">
      <c r="A26" s="24"/>
    </row>
    <row r="27" spans="1:1" x14ac:dyDescent="0.25">
      <c r="A27" s="24"/>
    </row>
    <row r="28" spans="1:1" x14ac:dyDescent="0.25">
      <c r="A28" s="24"/>
    </row>
    <row r="29" spans="1:1" x14ac:dyDescent="0.25">
      <c r="A29" s="24"/>
    </row>
    <row r="30" spans="1:1" x14ac:dyDescent="0.25">
      <c r="A30" s="24"/>
    </row>
    <row r="31" spans="1:1" x14ac:dyDescent="0.25">
      <c r="A31" s="24"/>
    </row>
    <row r="32" spans="1:1" x14ac:dyDescent="0.25">
      <c r="A32" s="24"/>
    </row>
    <row r="33" spans="1:1" x14ac:dyDescent="0.25">
      <c r="A33" s="24"/>
    </row>
    <row r="34" spans="1:1" x14ac:dyDescent="0.25">
      <c r="A34" s="24"/>
    </row>
    <row r="35" spans="1:1" x14ac:dyDescent="0.25">
      <c r="A35" s="24"/>
    </row>
    <row r="36" spans="1:1" x14ac:dyDescent="0.25">
      <c r="A36" s="24"/>
    </row>
    <row r="37" spans="1:1" x14ac:dyDescent="0.25">
      <c r="A37" s="24"/>
    </row>
    <row r="38" spans="1:1" x14ac:dyDescent="0.25">
      <c r="A38" s="24"/>
    </row>
    <row r="39" spans="1:1" x14ac:dyDescent="0.25">
      <c r="A39" s="24"/>
    </row>
    <row r="41" spans="1:1" x14ac:dyDescent="0.25">
      <c r="A41" s="24"/>
    </row>
  </sheetData>
  <hyperlinks>
    <hyperlink ref="A1" r:id="rId1" display="https://1000springs.org.nz/licence" xr:uid="{7D9F2574-DF70-1E46-B689-47414F0A63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S1 - Hot spring water chemistry</vt:lpstr>
      <vt:lpstr>S2 - Bedrock chemistry</vt:lpstr>
      <vt:lpstr>S3 - Bedrock averages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 Galloway</dc:creator>
  <cp:lastModifiedBy>Eva Stueeken</cp:lastModifiedBy>
  <dcterms:created xsi:type="dcterms:W3CDTF">2024-11-18T11:17:50Z</dcterms:created>
  <dcterms:modified xsi:type="dcterms:W3CDTF">2024-11-19T16:37:32Z</dcterms:modified>
</cp:coreProperties>
</file>